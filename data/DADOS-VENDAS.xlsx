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arvsystemscombr-my.sharepoint.com/personal/vendas2_arvsystems_com_br/Documents/Anexos/"/>
    </mc:Choice>
  </mc:AlternateContent>
  <xr:revisionPtr revIDLastSave="0" documentId="8_{552B5762-7BB4-434D-A944-4E9C5BCAFD97}" xr6:coauthVersionLast="47" xr6:coauthVersionMax="47" xr10:uidLastSave="{00000000-0000-0000-0000-000000000000}"/>
  <bookViews>
    <workbookView xWindow="4390" yWindow="1730" windowWidth="19200" windowHeight="11170" firstSheet="2" activeTab="2" xr2:uid="{00000000-000D-0000-FFFF-FFFF00000000}"/>
  </bookViews>
  <sheets>
    <sheet name="Dashboard" sheetId="1" r:id="rId1"/>
    <sheet name="Planilha1" sheetId="10" state="hidden" r:id="rId2"/>
    <sheet name="Tabelas de Apoio" sheetId="2" r:id="rId3"/>
    <sheet name="Cadastro de Empresas - 1" sheetId="3" r:id="rId4"/>
    <sheet name="Cadastro de Concorrentes ARV 2" sheetId="4" r:id="rId5"/>
    <sheet name="Histórico de Vendas 3 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28" i="1"/>
  <c r="E28" i="1" s="1"/>
  <c r="E27" i="1"/>
  <c r="A27" i="1"/>
  <c r="F28" i="1" l="1"/>
  <c r="B14" i="1"/>
  <c r="C27" i="1"/>
  <c r="B6" i="1"/>
  <c r="B8" i="1"/>
  <c r="B29" i="1"/>
  <c r="F27" i="1"/>
  <c r="B16" i="1"/>
  <c r="B4" i="1"/>
  <c r="B27" i="1"/>
  <c r="C28" i="1"/>
  <c r="B28" i="1"/>
  <c r="C29" i="1"/>
  <c r="B5" i="1"/>
  <c r="B46" i="1" s="1"/>
  <c r="E29" i="1"/>
  <c r="F29" i="1"/>
  <c r="G29" i="1" l="1"/>
  <c r="D29" i="1"/>
  <c r="G28" i="1"/>
  <c r="D28" i="1"/>
  <c r="D27" i="1"/>
  <c r="G27" i="1"/>
  <c r="B17" i="1"/>
  <c r="C17" i="1" s="1"/>
  <c r="B10" i="1"/>
  <c r="C16" i="1"/>
  <c r="B9" i="1"/>
  <c r="B7" i="1"/>
  <c r="C14" i="1"/>
  <c r="B15" i="1"/>
  <c r="B42" i="1" s="1"/>
  <c r="B40" i="1"/>
  <c r="C15" i="1" l="1"/>
</calcChain>
</file>

<file path=xl/sharedStrings.xml><?xml version="1.0" encoding="utf-8"?>
<sst xmlns="http://schemas.openxmlformats.org/spreadsheetml/2006/main" count="4862" uniqueCount="2131">
  <si>
    <t>DASHBOARD - RAIO-X DA CARTEIRA ARV SYSTEMS</t>
  </si>
  <si>
    <t>RESUMO EXECUTIVO</t>
  </si>
  <si>
    <t>Total de Clientes Ativos</t>
  </si>
  <si>
    <t>Total de Prospects</t>
  </si>
  <si>
    <t>Faturamento Total 24 meses</t>
  </si>
  <si>
    <t>Ticket Médio Geral</t>
  </si>
  <si>
    <t>Clientes VIP (&gt; R$ 1M)</t>
  </si>
  <si>
    <t>% Carteira em Dia (visitas)</t>
  </si>
  <si>
    <t>% Carteira Ativa (vendas)</t>
  </si>
  <si>
    <t>ALERTAS CRÍTICOS</t>
  </si>
  <si>
    <t>Alerta</t>
  </si>
  <si>
    <t>Quantidade</t>
  </si>
  <si>
    <t>% Carteira</t>
  </si>
  <si>
    <t>Ação Recomendada</t>
  </si>
  <si>
    <t>🚨 Clientes &gt; 90 dias sem visita</t>
  </si>
  <si>
    <t>Cobrar vendedores, agendar visitas urgentes</t>
  </si>
  <si>
    <t>🚨 Clientes &gt; 18 meses sem comprar</t>
  </si>
  <si>
    <t>Ação de resgate urgente</t>
  </si>
  <si>
    <t>🔶 Clientes 61-90 dias sem visita</t>
  </si>
  <si>
    <t>Agendar visitas esta semana</t>
  </si>
  <si>
    <t>🔶 Clientes 13-18 meses sem comprar</t>
  </si>
  <si>
    <t>Enviar orçamentos, reativar</t>
  </si>
  <si>
    <t>TOP 10 CLIENTES POR FATURAMENTO (24 MESES)</t>
  </si>
  <si>
    <t>PERFORMANCE POR VENDEDOR</t>
  </si>
  <si>
    <t>Vendedor</t>
  </si>
  <si>
    <t>Clientes</t>
  </si>
  <si>
    <t>Faturamento 24m</t>
  </si>
  <si>
    <t>Ticket Médio</t>
  </si>
  <si>
    <t>Visitas (Mês)</t>
  </si>
  <si>
    <t>Clientes &gt; 90d sem visita</t>
  </si>
  <si>
    <t>% Carteira em Risco</t>
  </si>
  <si>
    <t>ANÁLISE DE CONCORRÊNCIA (Últimos 3 meses)</t>
  </si>
  <si>
    <t>Concorrente</t>
  </si>
  <si>
    <t>Menções</t>
  </si>
  <si>
    <t>Clientes Afetados</t>
  </si>
  <si>
    <t>Faturamento em Risco</t>
  </si>
  <si>
    <t>Top 3 concorrentes mais mencionados</t>
  </si>
  <si>
    <t>INSIGHTS ACIONÁVEIS</t>
  </si>
  <si>
    <t>💡 Insight 1: Gap de Atendimento</t>
  </si>
  <si>
    <t>💡 Insight 2: Clientes em Risco</t>
  </si>
  <si>
    <t>💡 Insight 3: Performance da Equipe</t>
  </si>
  <si>
    <t>Analise a seção "Performance por Vendedor" acima. Vendedores com % Carteira em Risco &gt; 30% precisam de atenção urgente.</t>
  </si>
  <si>
    <t>💡 Insight 4: Oportunidades de Crescimento</t>
  </si>
  <si>
    <t>#</t>
  </si>
  <si>
    <t>Cliente</t>
  </si>
  <si>
    <t>Classificação</t>
  </si>
  <si>
    <t>Meses sem Comprar</t>
  </si>
  <si>
    <t>Status Vendas</t>
  </si>
  <si>
    <t>Dias sem Visita</t>
  </si>
  <si>
    <t>Status Visitas</t>
  </si>
  <si>
    <t>Ranking será gerado automaticamente com dados de exemplo</t>
  </si>
  <si>
    <t>Mapear clientes (24 meses)</t>
  </si>
  <si>
    <t>Carteiras por vendedor</t>
  </si>
  <si>
    <t>Qual plano do vendedor para alavancar 300% oportunidades no primeiro tri 2026</t>
  </si>
  <si>
    <t>Retaivação de contas inativas</t>
  </si>
  <si>
    <t>Prospecção (cada vendedor dedicar 1 dia para prospecção)</t>
  </si>
  <si>
    <t>Qual plano de ação dentro de cada cliente</t>
  </si>
  <si>
    <t>Concorrente dos nossos clientes (Ativa ai)</t>
  </si>
  <si>
    <t>Plano de pós vendas (durante garantia e pós garantia)</t>
  </si>
  <si>
    <t>Evidencias de testimonial para cada entrega de conta estrategica</t>
  </si>
  <si>
    <t>Segmentos de Mercado</t>
  </si>
  <si>
    <t>Áreas de Atuação ARV</t>
  </si>
  <si>
    <t>Equipe Comercial</t>
  </si>
  <si>
    <t>Estados</t>
  </si>
  <si>
    <t>Tipos de Contato</t>
  </si>
  <si>
    <t>Status de Orçamento</t>
  </si>
  <si>
    <t>Nível de Satisfação</t>
  </si>
  <si>
    <t>Tipo de Empresa</t>
  </si>
  <si>
    <t>Status de Empresa</t>
  </si>
  <si>
    <t>Automotiva e Máquinas Pesadas</t>
  </si>
  <si>
    <t>Linhas de montagem automáticas</t>
  </si>
  <si>
    <t>Mariana</t>
  </si>
  <si>
    <t>SP</t>
  </si>
  <si>
    <t>Visita presencial</t>
  </si>
  <si>
    <t>Em Análise</t>
  </si>
  <si>
    <t>Muito Satisfeito</t>
  </si>
  <si>
    <t>Ativo</t>
  </si>
  <si>
    <t>Eletroeletrônica e Tecnologias de Consumo</t>
  </si>
  <si>
    <t>Máquinas especiais para automação</t>
  </si>
  <si>
    <t>Lilian</t>
  </si>
  <si>
    <t>MG</t>
  </si>
  <si>
    <t>Reunião online</t>
  </si>
  <si>
    <t>Aprovado</t>
  </si>
  <si>
    <t>Satisfeito</t>
  </si>
  <si>
    <t>Prospect</t>
  </si>
  <si>
    <t>Inativo</t>
  </si>
  <si>
    <t>Farmacêutica, Saúde e Dispositivos Médicos</t>
  </si>
  <si>
    <t>Soluções em robótica (industriais e colaborativas)</t>
  </si>
  <si>
    <t>Mauricio</t>
  </si>
  <si>
    <t>RJ</t>
  </si>
  <si>
    <t>Ligação telefônica</t>
  </si>
  <si>
    <t>Perdido</t>
  </si>
  <si>
    <t>Neutro</t>
  </si>
  <si>
    <t>Concorrente de Cliente</t>
  </si>
  <si>
    <t>Sem Contato</t>
  </si>
  <si>
    <t>Bens de Consumo Não Duráveis (Higiene e Beleza)</t>
  </si>
  <si>
    <t>Controle de qualidade automatizado (visão, testes, estanqueidade)</t>
  </si>
  <si>
    <t>Gabriel</t>
  </si>
  <si>
    <t>PR</t>
  </si>
  <si>
    <t>E-mail</t>
  </si>
  <si>
    <t>Cancelado</t>
  </si>
  <si>
    <t>Insatisfeito</t>
  </si>
  <si>
    <t>Alimentícia e Bebidas</t>
  </si>
  <si>
    <t>Automação de embalagem</t>
  </si>
  <si>
    <t>SC</t>
  </si>
  <si>
    <t>Feira/Evento</t>
  </si>
  <si>
    <t>Embalagens e Soluções Técnicas</t>
  </si>
  <si>
    <t>Automação de logística interna</t>
  </si>
  <si>
    <t>RS</t>
  </si>
  <si>
    <t>WhatsApp</t>
  </si>
  <si>
    <t>Fundição e Metalurgia Avançada</t>
  </si>
  <si>
    <t>Consultoria para automação</t>
  </si>
  <si>
    <t>BA</t>
  </si>
  <si>
    <t>Defesa e Segurança</t>
  </si>
  <si>
    <t>Serviços técnicos de suporte e otimização</t>
  </si>
  <si>
    <t>PE</t>
  </si>
  <si>
    <t>Bens Duráveis e Acessórios Pessoais</t>
  </si>
  <si>
    <t>Revenda</t>
  </si>
  <si>
    <t>CE</t>
  </si>
  <si>
    <t>GO</t>
  </si>
  <si>
    <t>DF</t>
  </si>
  <si>
    <t>ES</t>
  </si>
  <si>
    <t>PA</t>
  </si>
  <si>
    <t>MA</t>
  </si>
  <si>
    <t>MT</t>
  </si>
  <si>
    <t>MS</t>
  </si>
  <si>
    <t>AM</t>
  </si>
  <si>
    <t>Nome da Empresa</t>
  </si>
  <si>
    <t>Tipo</t>
  </si>
  <si>
    <t>Segmento de Mercado</t>
  </si>
  <si>
    <t>Estado</t>
  </si>
  <si>
    <t>Cidade</t>
  </si>
  <si>
    <t>CNPJ</t>
  </si>
  <si>
    <t>Telefone Principal</t>
  </si>
  <si>
    <t>Contato</t>
  </si>
  <si>
    <t>Status</t>
  </si>
  <si>
    <t>Data de Cadastro</t>
  </si>
  <si>
    <t>Observações</t>
  </si>
  <si>
    <t>Embraer S.A.</t>
  </si>
  <si>
    <t>São José dos Campos</t>
  </si>
  <si>
    <t>07.689.002/0001-89</t>
  </si>
  <si>
    <t>(12) 3927-4000</t>
  </si>
  <si>
    <t>Bosch do Brasil</t>
  </si>
  <si>
    <t>Campinas</t>
  </si>
  <si>
    <t>59.104.422/0001-19</t>
  </si>
  <si>
    <t>(19) 3745-2000</t>
  </si>
  <si>
    <t>Nestlé Brasil</t>
  </si>
  <si>
    <t>São Paulo</t>
  </si>
  <si>
    <t>60.409.075/0001-52</t>
  </si>
  <si>
    <t>(11) 2134-5000</t>
  </si>
  <si>
    <t>Unilever Brasil</t>
  </si>
  <si>
    <t>61.068.276/0001-02</t>
  </si>
  <si>
    <t>(11) 3556-9000</t>
  </si>
  <si>
    <t>Ambev S.A.</t>
  </si>
  <si>
    <t>02.808.708/0001-07</t>
  </si>
  <si>
    <t>(11) 2122-1000</t>
  </si>
  <si>
    <t>Johnson &amp; Johnson</t>
  </si>
  <si>
    <t>54.516.661/0001-01</t>
  </si>
  <si>
    <t>(12) 3954-4000</t>
  </si>
  <si>
    <t>Whirlpool (Brastemp)</t>
  </si>
  <si>
    <t>59.105.999/0001-86</t>
  </si>
  <si>
    <t>(11) 3366-5000</t>
  </si>
  <si>
    <t>Klabin S.A.</t>
  </si>
  <si>
    <t>Curitiba</t>
  </si>
  <si>
    <t>89.637.490/0001-45</t>
  </si>
  <si>
    <t>(41) 3213-8000</t>
  </si>
  <si>
    <t>Tupy S.A.</t>
  </si>
  <si>
    <t>Joinville</t>
  </si>
  <si>
    <t>84.683.374/0001-49</t>
  </si>
  <si>
    <t>(47) 3441-7000</t>
  </si>
  <si>
    <t>Natura Cosméticos</t>
  </si>
  <si>
    <t>71.673.990/0001-77</t>
  </si>
  <si>
    <t>(11) 4446-2000</t>
  </si>
  <si>
    <t xml:space="preserve"> SEARA ALIMENTOS LTDA</t>
  </si>
  <si>
    <t>Rio Grande da Serra</t>
  </si>
  <si>
    <t xml:space="preserve"> 02.914.460/0263-89</t>
  </si>
  <si>
    <t xml:space="preserve"> (11) 2174-8800</t>
  </si>
  <si>
    <t>WELLINGTON FREITAS SILVA</t>
  </si>
  <si>
    <t xml:space="preserve"> VIEMAR INDÚSTRIA E COMÉRCIO LDA </t>
  </si>
  <si>
    <t>Porto Alegre</t>
  </si>
  <si>
    <t xml:space="preserve">01.070.037/0001-59 </t>
  </si>
  <si>
    <t>(51) 3357-0700</t>
  </si>
  <si>
    <t>MAICON GARCIA DE LEMOS</t>
  </si>
  <si>
    <t>3M DO BRASIL LTDA</t>
  </si>
  <si>
    <t>Ribeirão Preto</t>
  </si>
  <si>
    <t>45.985.371/0033-95</t>
  </si>
  <si>
    <t>(19) 3838-7000</t>
  </si>
  <si>
    <t>Allan Harada</t>
  </si>
  <si>
    <t>Itapetininga</t>
  </si>
  <si>
    <t>45.985.371/0062-20</t>
  </si>
  <si>
    <t>(19) 3838-7451</t>
  </si>
  <si>
    <t>Fabio Belli</t>
  </si>
  <si>
    <t>Sumaré</t>
  </si>
  <si>
    <t>45.985.371/0001-08</t>
  </si>
  <si>
    <t xml:space="preserve">3838 7783 </t>
  </si>
  <si>
    <t>Claudino</t>
  </si>
  <si>
    <t xml:space="preserve">KOMATSU DO BRASIL LTDA </t>
  </si>
  <si>
    <t>Suzano</t>
  </si>
  <si>
    <t>44.410.199/0001-00</t>
  </si>
  <si>
    <t>(11) 4745-7000</t>
  </si>
  <si>
    <t xml:space="preserve">Victor Hugo da Silva </t>
  </si>
  <si>
    <t>A RAYMOND BRASIL LTDA</t>
  </si>
  <si>
    <t>Vinhedo</t>
  </si>
  <si>
    <t>01.144.384/0001-89</t>
  </si>
  <si>
    <t>(19) 3836-6905</t>
  </si>
  <si>
    <t>Fernando</t>
  </si>
  <si>
    <t>A.W. FABER CASTELL S.A. COSMÉTICOS</t>
  </si>
  <si>
    <t>São Carlos</t>
  </si>
  <si>
    <t>59.596.908/0007-48</t>
  </si>
  <si>
    <t>(16) 2106-1156</t>
  </si>
  <si>
    <t xml:space="preserve">Andrei Jose Aparecido Possato </t>
  </si>
  <si>
    <t>ABBOTT LABORATORIOS DO BRASIL LTDA</t>
  </si>
  <si>
    <t>Rio de Janeiro</t>
  </si>
  <si>
    <t>56.998.701/0012-79</t>
  </si>
  <si>
    <t xml:space="preserve"> (21) 2448 2818</t>
  </si>
  <si>
    <t>Renato Teixeira</t>
  </si>
  <si>
    <t>AÇOS MACOM INDÚSTRIA E COMERCIO LTDA</t>
  </si>
  <si>
    <t>Guarulhos</t>
  </si>
  <si>
    <t>43.553.668/0001-79</t>
  </si>
  <si>
    <t>(11) 2085-7000</t>
  </si>
  <si>
    <t>Ricardo Jose Mariano</t>
  </si>
  <si>
    <t>AERIS INDUSTRIA E COMERCIO DE EQUIPAMENTOS PARA GERACAO DE E</t>
  </si>
  <si>
    <t>Caucaia</t>
  </si>
  <si>
    <t>12.528.708/0001-07</t>
  </si>
  <si>
    <t>(85) 3304-5858</t>
  </si>
  <si>
    <t>Rhuan Pereira</t>
  </si>
  <si>
    <t>AETHRA SISTEMAS AUTOMOTIVOS S.A.</t>
  </si>
  <si>
    <t>Contagem</t>
  </si>
  <si>
    <t>41.757.527/0002-23</t>
  </si>
  <si>
    <t>(31) 3045-9133</t>
  </si>
  <si>
    <t>MARCO HITS ALVES</t>
  </si>
  <si>
    <t>AGCO DO BRASIL SOLUCOES AGRICOLAS LTDA.</t>
  </si>
  <si>
    <t>Mogi das Cruzes</t>
  </si>
  <si>
    <t>55.962.369/0012-20</t>
  </si>
  <si>
    <t>(11) 4795-2200</t>
  </si>
  <si>
    <t>Guilherme / Matheus / Victor</t>
  </si>
  <si>
    <t>AGRISA AGROINDUSTRIAL SAO JOAO S/A</t>
  </si>
  <si>
    <t>Cabo Frio</t>
  </si>
  <si>
    <t>28.851.889/0002-10</t>
  </si>
  <si>
    <t>(22) 2021-4035</t>
  </si>
  <si>
    <t xml:space="preserve">AISIN AI BRASIL </t>
  </si>
  <si>
    <t>Itu</t>
  </si>
  <si>
    <t>18.663185/0001-80</t>
  </si>
  <si>
    <t>(11) 2396-1314</t>
  </si>
  <si>
    <t>Frank Sasada /Victor</t>
  </si>
  <si>
    <t xml:space="preserve">AJINOMOTO INTERAMERICANA INDUSTRIA E COMERCIO LTDA </t>
  </si>
  <si>
    <t>Jundiai</t>
  </si>
  <si>
    <t>46.377.636/0002-39</t>
  </si>
  <si>
    <t>3404-5373</t>
  </si>
  <si>
    <t xml:space="preserve">Everson Rodrigo D Avila da Silva </t>
  </si>
  <si>
    <t>ALBEA JUNDIAI</t>
  </si>
  <si>
    <t>60.760.642/0005-44</t>
  </si>
  <si>
    <t xml:space="preserve"> (11) 2152-9800</t>
  </si>
  <si>
    <t>ALBRAS</t>
  </si>
  <si>
    <t>Embu</t>
  </si>
  <si>
    <t>43.730.415/0001-23</t>
  </si>
  <si>
    <t>4785-1700</t>
  </si>
  <si>
    <t>SERGIO MIMAKI</t>
  </si>
  <si>
    <t>ALFLEX</t>
  </si>
  <si>
    <t>05.194.267/0001-80</t>
  </si>
  <si>
    <t>(47) 3451-0510</t>
  </si>
  <si>
    <t xml:space="preserve">JÉRÔME RAULO </t>
  </si>
  <si>
    <t>ALIANÇA METALURGICA</t>
  </si>
  <si>
    <t>61.143.632/0001-07</t>
  </si>
  <si>
    <t>(11) 2951-1551</t>
  </si>
  <si>
    <t>MATHEUS LIMA ASSUNÇÃO</t>
  </si>
  <si>
    <t>ABBVIE (antiga Allergan)</t>
  </si>
  <si>
    <t>43.426.626/0009-24</t>
  </si>
  <si>
    <t>(11)2423-2000</t>
  </si>
  <si>
    <t>Felipe Marques</t>
  </si>
  <si>
    <t>ALUCOMAXX BRASIL - INDUSTRIA E COMERCIO DE REVESTIMENTOS LTD</t>
  </si>
  <si>
    <t>12.047.030/0001-32.</t>
  </si>
  <si>
    <t xml:space="preserve">(11) 2462-5874 </t>
  </si>
  <si>
    <t>ANTIBIOTICOS DO BRASIL LTDA.</t>
  </si>
  <si>
    <t>Cosmopolis</t>
  </si>
  <si>
    <t>05.439.635/0001-03</t>
  </si>
  <si>
    <t>(19) 3872-9303</t>
  </si>
  <si>
    <t>Talita Rezende</t>
  </si>
  <si>
    <t>ANTILHAS EMBALAGEM EDITORA E GRÁFICA S.A</t>
  </si>
  <si>
    <t>Santana Parnaiba</t>
  </si>
  <si>
    <t>02.096.748/0002-46</t>
  </si>
  <si>
    <t>(11) 4152-1100</t>
  </si>
  <si>
    <t>AP WINNER INDUSTRIA E COMERCIO DE PRODUTOS QUIMICO LTDA</t>
  </si>
  <si>
    <t>Ponta Grossa</t>
  </si>
  <si>
    <t>00.101.896/0001-03</t>
  </si>
  <si>
    <t>(42) 3219-3200</t>
  </si>
  <si>
    <t>APENAS BOA NUTRICAO INDUSTRIA DE ALIMENTOS LTDA.</t>
  </si>
  <si>
    <t>São Bernardo do Campo</t>
  </si>
  <si>
    <t>11.974.066/0001-07</t>
  </si>
  <si>
    <t>(11) 4343-2260</t>
  </si>
  <si>
    <t>APOLO TUBULARS S/A</t>
  </si>
  <si>
    <t>Lorena</t>
  </si>
  <si>
    <t>42.419.150-0001-84</t>
  </si>
  <si>
    <t>12-3159-0060</t>
  </si>
  <si>
    <t>APTAR DO BRASIL EMBALAGENS LTDA.</t>
  </si>
  <si>
    <t>Camaçari</t>
  </si>
  <si>
    <t>06.148.069/0005-77</t>
  </si>
  <si>
    <t>(71) 4040-4008</t>
  </si>
  <si>
    <t>Marcos Costa</t>
  </si>
  <si>
    <t>AQIA QUÍMICA INOVATIVA LTDA</t>
  </si>
  <si>
    <t>01.142.107/0001-37</t>
  </si>
  <si>
    <t>(11) 5094-9911</t>
  </si>
  <si>
    <t>ARCOR DO BRASIL LTDA</t>
  </si>
  <si>
    <t>Rio das Pedras</t>
  </si>
  <si>
    <t>54.360.656/0001-44</t>
  </si>
  <si>
    <t>(19) 3493-9000</t>
  </si>
  <si>
    <t>INDÚSTRIAS ARTEB S/A</t>
  </si>
  <si>
    <t>62.291.380/0001-18</t>
  </si>
  <si>
    <t xml:space="preserve">(11) 4341-9967 </t>
  </si>
  <si>
    <t>GLAUCO GIANDOMENICO DE ASSIS / Sandro</t>
  </si>
  <si>
    <t>ARTECHE-EDC-EQUIPAMENTOS-E-SISTEMAS-S-A</t>
  </si>
  <si>
    <t>02.782.918/0001-65</t>
  </si>
  <si>
    <t>(41) 2106-1831</t>
  </si>
  <si>
    <t>ASA INDUSTRIA E COMERCIO LTDA</t>
  </si>
  <si>
    <t>Recife</t>
  </si>
  <si>
    <t>01.551.272/0001-42</t>
  </si>
  <si>
    <t>(81) 3073-5000</t>
  </si>
  <si>
    <t>ASD CONSTRUTORA LTDA</t>
  </si>
  <si>
    <t>07.161.808.0001-08</t>
  </si>
  <si>
    <t>ASSA ABLOY BRASIL SISTEMAS DE SEGURANÇA LTDA</t>
  </si>
  <si>
    <t>01.211.626.0001.00</t>
  </si>
  <si>
    <t>(11) 5693-4782</t>
  </si>
  <si>
    <t>Antonio Marcos</t>
  </si>
  <si>
    <t>ASW</t>
  </si>
  <si>
    <t>39.008.214/0001-40</t>
  </si>
  <si>
    <t>4793-5501</t>
  </si>
  <si>
    <t>Leandro Mattos</t>
  </si>
  <si>
    <t>AUMOVIO CONTINENTAL GUARULHOS</t>
  </si>
  <si>
    <t>48.754.139/0001-57</t>
  </si>
  <si>
    <t>(11)4596-8139</t>
  </si>
  <si>
    <t>Guilherme Takahama</t>
  </si>
  <si>
    <t>AUNDE BRASI S.A</t>
  </si>
  <si>
    <t>Poá</t>
  </si>
  <si>
    <t>48.131.296/0001-06</t>
  </si>
  <si>
    <t>4646-8457</t>
  </si>
  <si>
    <t>Lucas Alves</t>
  </si>
  <si>
    <t>AUTOLIV DO BRASIL LTDA</t>
  </si>
  <si>
    <t>Taubate</t>
  </si>
  <si>
    <t>01.340.384.0001.54</t>
  </si>
  <si>
    <t>(12) 2125-1045</t>
  </si>
  <si>
    <t>ELDER CASTREZANA</t>
  </si>
  <si>
    <t>AUTOPLAS IND. COM. IMP. E EXP. DE PLÁSTICOS TÉCNICOS LTDA</t>
  </si>
  <si>
    <t>Mateus Leme</t>
  </si>
  <si>
    <t>25.170.937/0001-36</t>
  </si>
  <si>
    <t>(31) 3614-0900</t>
  </si>
  <si>
    <t>TÚLIO TADEU DE ALMEIDA</t>
  </si>
  <si>
    <t>BALDER INDUSTRIA FARMACEUTICA LTDA</t>
  </si>
  <si>
    <t>Vespasiano</t>
  </si>
  <si>
    <t>08.100.015/0001-33</t>
  </si>
  <si>
    <t>(31) 3629-9300</t>
  </si>
  <si>
    <t xml:space="preserve">ARTUR AUGUSTO SILVA </t>
  </si>
  <si>
    <t>BASF S/A</t>
  </si>
  <si>
    <t>Indaiatuba</t>
  </si>
  <si>
    <t>48.539.407/0029-19</t>
  </si>
  <si>
    <t>3936-9143</t>
  </si>
  <si>
    <t>ROGERIO DE BRITO BERBIX</t>
  </si>
  <si>
    <t>PANDURATA ALIMENTOS LTDA (bauducco)</t>
  </si>
  <si>
    <t>70.940.994/0056-85</t>
  </si>
  <si>
    <t>(11) 2142-9404</t>
  </si>
  <si>
    <t>Adilson / Jurandir</t>
  </si>
  <si>
    <t>BAXTER HOSPITALAR LTDA</t>
  </si>
  <si>
    <t>49.351.786/0002-61</t>
  </si>
  <si>
    <t>(11) 5694-8829</t>
  </si>
  <si>
    <t>Paulo</t>
  </si>
  <si>
    <t>BECTON  DICKINSON  INDÚSTRIAS  CIRÚRGICAS  LTDA</t>
  </si>
  <si>
    <t>Juiz de Fora</t>
  </si>
  <si>
    <t>21.551.379/0001-06</t>
  </si>
  <si>
    <t>(32) 3229-5046</t>
  </si>
  <si>
    <t>BERICAP DO BRASIL LTDA</t>
  </si>
  <si>
    <t>Sorocaba</t>
  </si>
  <si>
    <t>02.375.722/0001-56</t>
  </si>
  <si>
    <t>BIOTECH CAPS LTDA</t>
  </si>
  <si>
    <t>48.089.131/0001-13</t>
  </si>
  <si>
    <t>(11) 4722-8865</t>
  </si>
  <si>
    <t>Dani Cruz</t>
  </si>
  <si>
    <t xml:space="preserve">BLOCOS AMERICANA ARTEFATOS DE CIMENTO EIRELI - ME </t>
  </si>
  <si>
    <t>Americana</t>
  </si>
  <si>
    <t>19.383.034/0001-30</t>
  </si>
  <si>
    <t>99100-8142</t>
  </si>
  <si>
    <t>Uilton</t>
  </si>
  <si>
    <t>BLOWTEX - ANSELL</t>
  </si>
  <si>
    <t>Aluminio</t>
  </si>
  <si>
    <t>59.548.214.0004-92</t>
  </si>
  <si>
    <t>(11) 4715-4100</t>
  </si>
  <si>
    <t>BOMBRIL S/A</t>
  </si>
  <si>
    <t>50.564.053/0008-80</t>
  </si>
  <si>
    <t>4366-1285</t>
  </si>
  <si>
    <t>ALEXANDRE ROLOFF</t>
  </si>
  <si>
    <t>BONDUELLE DO BRASIL</t>
  </si>
  <si>
    <t>Cristalina</t>
  </si>
  <si>
    <t>74.299.660/0009-09</t>
  </si>
  <si>
    <t>(62) 3945-4187</t>
  </si>
  <si>
    <t>BORKAR</t>
  </si>
  <si>
    <t>Itapecerica da Serra</t>
  </si>
  <si>
    <t>12.475.660/0001-08</t>
  </si>
  <si>
    <t>4704-6928</t>
  </si>
  <si>
    <t>BOTICA COMERCIAL FARMACEUTICA LTDA ( BAHIA )</t>
  </si>
  <si>
    <t>77.388.007/0004-08</t>
  </si>
  <si>
    <t>(71) 3344- 5127</t>
  </si>
  <si>
    <t>GUILHERME BORTOLAZ GUEDES</t>
  </si>
  <si>
    <t>BOTICARIO COMERCIAL FARMACEUTICA LTDA</t>
  </si>
  <si>
    <t>77.388.007/0001-57</t>
  </si>
  <si>
    <t>(41)3381-7000</t>
  </si>
  <si>
    <t>BRAINFARMA INDÚSTRIA QUÍMICA E FARMACÊUTICA S.A.</t>
  </si>
  <si>
    <t>Anapolis</t>
  </si>
  <si>
    <t>05.161.069/0005-44</t>
  </si>
  <si>
    <t>(62) 3878-8150</t>
  </si>
  <si>
    <t>BRAL-MAX INDUSTRIA E COMERCIO DE PLASTICOS LTDA</t>
  </si>
  <si>
    <t>Petropolis</t>
  </si>
  <si>
    <t>01.399.482/0001-67</t>
  </si>
  <si>
    <t>(24) 2243-3796</t>
  </si>
  <si>
    <t>Adriano Moutinho</t>
  </si>
  <si>
    <t>BRF S.A</t>
  </si>
  <si>
    <t>Paranagua</t>
  </si>
  <si>
    <t>01.838.723/0122-14</t>
  </si>
  <si>
    <t xml:space="preserve">(41) 2152- 6760 </t>
  </si>
  <si>
    <t>GABRIEL PARISE CHANAMÉ</t>
  </si>
  <si>
    <t>BRISTOL PARTS INDÚSTRIA E COMÉRCIO LTDA</t>
  </si>
  <si>
    <t>04.247.586/0001-44</t>
  </si>
  <si>
    <t>(11)2465-7000</t>
  </si>
  <si>
    <t>Rodrigo Baptista</t>
  </si>
  <si>
    <t>BRSPLICE INDÚSTRIA E COMÉRCIO LTDA</t>
  </si>
  <si>
    <t>55.396.030/0001-50</t>
  </si>
  <si>
    <t>11 3977-3300</t>
  </si>
  <si>
    <t>Abel Souza</t>
  </si>
  <si>
    <t>CAF MAQUINAS INDUSTRIA LTDA</t>
  </si>
  <si>
    <t>Rio Claro</t>
  </si>
  <si>
    <t>56.369.960/0001-88</t>
  </si>
  <si>
    <t>(19) 3536-9100</t>
  </si>
  <si>
    <t>CAMPO LIMPO - RECICLAGEM E TRANSFORMAÇÃO DE PLASTICOS S.A</t>
  </si>
  <si>
    <t>09.456.668/0001-12</t>
  </si>
  <si>
    <t>(12)  2125-2436</t>
  </si>
  <si>
    <t xml:space="preserve">RODRIGO CORRÊA SANTOS, </t>
  </si>
  <si>
    <t>CARGIL SP</t>
  </si>
  <si>
    <t>60.498.706/0001-57</t>
  </si>
  <si>
    <t>(11) 2589-1374</t>
  </si>
  <si>
    <t>CARGILL - GO</t>
  </si>
  <si>
    <t>Goiania</t>
  </si>
  <si>
    <t>60.498.706/0370-77</t>
  </si>
  <si>
    <t>(62)3269-5600</t>
  </si>
  <si>
    <t>CARGILL AGRICOLA S/A</t>
  </si>
  <si>
    <t>Barreiras</t>
  </si>
  <si>
    <t>60.498.706/0259-07</t>
  </si>
  <si>
    <t>99202-4678</t>
  </si>
  <si>
    <t>CARL ZEISS VISION DO BRAZIL INDÚSTRIA ÓPTICA LTDA.</t>
  </si>
  <si>
    <t>28.826.394/0001-50</t>
  </si>
  <si>
    <t>YANN CARIFI</t>
  </si>
  <si>
    <t>CARMEL IND. COM DE PRODUTOS DE HIGIENE E LIMPEZA LTDA</t>
  </si>
  <si>
    <t>Cabreuva</t>
  </si>
  <si>
    <t>18.741.907/0001-77</t>
  </si>
  <si>
    <t>4199 7555</t>
  </si>
  <si>
    <t>JACK CHOUVEKE</t>
  </si>
  <si>
    <t>CASA DA MOEDA</t>
  </si>
  <si>
    <t>34.164.319/0005-06</t>
  </si>
  <si>
    <t xml:space="preserve">2414-2130 </t>
  </si>
  <si>
    <t xml:space="preserve">  MARCELO MAX SERGIO AZEREDO</t>
  </si>
  <si>
    <t>COMPANHIA BRASILEIRA DE CARTUCHOS</t>
  </si>
  <si>
    <t>Ribeirão Pires</t>
  </si>
  <si>
    <t>57.494.031/0001-63</t>
  </si>
  <si>
    <t>(11) 2139-8297</t>
  </si>
  <si>
    <t>Marcos Buratini</t>
  </si>
  <si>
    <t>Monte Negro</t>
  </si>
  <si>
    <t>57.494.031/0010-54</t>
  </si>
  <si>
    <t>COMPANHIA BRASILEIRA DE METALURGIA E MINARAÇÃO (CBMM)</t>
  </si>
  <si>
    <t>Araxá</t>
  </si>
  <si>
    <t>33.131.541/0001-08</t>
  </si>
  <si>
    <t>(34) 3669-3000</t>
  </si>
  <si>
    <t xml:space="preserve">CELANESE </t>
  </si>
  <si>
    <t>01.808.103/0002-26</t>
  </si>
  <si>
    <t>99145 9339</t>
  </si>
  <si>
    <t>Marco Beribá</t>
  </si>
  <si>
    <t>CEVA FREIGHT MANAGEMENT DO BRASIL LTDA.</t>
  </si>
  <si>
    <t>03.229.138/0003-17</t>
  </si>
  <si>
    <t>Juliana Faboci</t>
  </si>
  <si>
    <t xml:space="preserve">CIA MULLER </t>
  </si>
  <si>
    <t>Pirassununga</t>
  </si>
  <si>
    <t>03.485.775/0001-92</t>
  </si>
  <si>
    <t>3565-5151</t>
  </si>
  <si>
    <t xml:space="preserve">CIA SUZANO </t>
  </si>
  <si>
    <t>60.651.726/003-88</t>
  </si>
  <si>
    <t>(11) 4817-0122</t>
  </si>
  <si>
    <t>CLEAR INDÚSTRIA DE PAPÉIS LTDA</t>
  </si>
  <si>
    <t>062.079.310.007</t>
  </si>
  <si>
    <t>3368-4000</t>
  </si>
  <si>
    <t>WILSON SANTIAGO</t>
  </si>
  <si>
    <t>CMP COMPONENTES</t>
  </si>
  <si>
    <t>186.387.841.00-61</t>
  </si>
  <si>
    <t>(31) 2105-3485</t>
  </si>
  <si>
    <t/>
  </si>
  <si>
    <t>CMP COMPONENTES E MODULOS PLASTICOS INDUSTRIA E COMERCIO LTD</t>
  </si>
  <si>
    <t>Itauna</t>
  </si>
  <si>
    <t>1863878410304</t>
  </si>
  <si>
    <t xml:space="preserve">CNH INDUSTRIAL LATIN AMERICA LTDA. </t>
  </si>
  <si>
    <t>798.010.159.111</t>
  </si>
  <si>
    <t>3334-4657</t>
  </si>
  <si>
    <t>MÁRCIO BATISTA QUEIROGA</t>
  </si>
  <si>
    <t>COGUMELOS URAKAMI</t>
  </si>
  <si>
    <t>454.317.229.110</t>
  </si>
  <si>
    <t>4726-4480</t>
  </si>
  <si>
    <t>EDUARDO</t>
  </si>
  <si>
    <t>COLEP PROVIDER AEROSOL S A</t>
  </si>
  <si>
    <t>Itatiba</t>
  </si>
  <si>
    <t>382.063.477.118</t>
  </si>
  <si>
    <t>(11) 4487-6500</t>
  </si>
  <si>
    <t>COLGATE - KOLINOS SBC</t>
  </si>
  <si>
    <t>03.816.532/0001-90</t>
  </si>
  <si>
    <t>(11) 4366-6710</t>
  </si>
  <si>
    <t>COMPANHIA DOREL BRASIL PRODUTOS INFANTIS</t>
  </si>
  <si>
    <t>Campos do Goytacazes</t>
  </si>
  <si>
    <t>10.659.948/0001-07</t>
  </si>
  <si>
    <t>21018600</t>
  </si>
  <si>
    <t>CONDOR NORDESTE INDUSTRIA E COMERCIO LTDA</t>
  </si>
  <si>
    <t>São Bento do Sul</t>
  </si>
  <si>
    <t>07.049.845/0003-82</t>
  </si>
  <si>
    <t>CONTINENTAL AUTOMOTIVE DO BRASIL LTDA.</t>
  </si>
  <si>
    <t>Varzea Paulista</t>
  </si>
  <si>
    <t>11.111.752/0001-46</t>
  </si>
  <si>
    <t>3631-2000</t>
  </si>
  <si>
    <t>LUIS AUGUSTO CANTONI</t>
  </si>
  <si>
    <t>COOPER-STANDARD AUTOMOTIVE BRASIL SEALING LTDA</t>
  </si>
  <si>
    <t>Varginha</t>
  </si>
  <si>
    <t>00.362.831/0006-18</t>
  </si>
  <si>
    <t xml:space="preserve">2923-4840 </t>
  </si>
  <si>
    <t>JOÃO PAULO RAMOS</t>
  </si>
  <si>
    <t>00.362.831/0011-85</t>
  </si>
  <si>
    <t xml:space="preserve">4417-8459 </t>
  </si>
  <si>
    <t>FERNANDO GOMES</t>
  </si>
  <si>
    <t>00.362.831/0001-03</t>
  </si>
  <si>
    <t>2105-4000</t>
  </si>
  <si>
    <t>COPAG DA AMAZONIA S A</t>
  </si>
  <si>
    <t>Manaus</t>
  </si>
  <si>
    <t>04.664.637/0001-33</t>
  </si>
  <si>
    <t>4417-8459</t>
  </si>
  <si>
    <t>CORNING COMUNICAÇÕES ÓPTICAS S.A</t>
  </si>
  <si>
    <t>42.424.267/0001-56</t>
  </si>
  <si>
    <t>2126-1616</t>
  </si>
  <si>
    <t>CORTEVA</t>
  </si>
  <si>
    <t>Franco da Rocha</t>
  </si>
  <si>
    <t>47.180.625/0021-90</t>
  </si>
  <si>
    <t xml:space="preserve"> 4166-8034</t>
  </si>
  <si>
    <t>DIEGO CASELATO</t>
  </si>
  <si>
    <t>CREMER S.A.</t>
  </si>
  <si>
    <t>Blumenau</t>
  </si>
  <si>
    <t>82641325000118</t>
  </si>
  <si>
    <t>(47) 2123-8145/ (47)</t>
  </si>
  <si>
    <t>Cajamar</t>
  </si>
  <si>
    <t>82641325001866</t>
  </si>
  <si>
    <t>(47) 3321-8291</t>
  </si>
  <si>
    <t>LABORATÓRIO SANOBIL LTDA</t>
  </si>
  <si>
    <t>Abaete</t>
  </si>
  <si>
    <t>21.561.931/0003-09</t>
  </si>
  <si>
    <t>3449-2609</t>
  </si>
  <si>
    <t xml:space="preserve">BRUNO VIEIRA LOPES </t>
  </si>
  <si>
    <t>CRW INDUSTRIA E COMERCIO DE PLASTICOS LTDA</t>
  </si>
  <si>
    <t>51.254.191/0001-59</t>
  </si>
  <si>
    <t>(11) 2147-5500</t>
  </si>
  <si>
    <t>CLEBER ROBERTO FRASSON</t>
  </si>
  <si>
    <t>CUMMINS BRASIL LTDA</t>
  </si>
  <si>
    <t>43.201.151/0001-10</t>
  </si>
  <si>
    <t>WALTER JUNIOR</t>
  </si>
  <si>
    <t>CUMMINS FILTROS LTDA</t>
  </si>
  <si>
    <t>03.469.014/0001-47</t>
  </si>
  <si>
    <t>2106-2500</t>
  </si>
  <si>
    <t>D´SANTIS PEDERNEIRAS INDÚSTRIA DE MATERIAL ELETRICO LTDA-EPP</t>
  </si>
  <si>
    <t>Pereiras</t>
  </si>
  <si>
    <t>02.697.641/0001-72</t>
  </si>
  <si>
    <t xml:space="preserve">3284-6045 </t>
  </si>
  <si>
    <t>RENATO COSTA</t>
  </si>
  <si>
    <t>DANEVA MAQUINAS E CONDUTORES ELETRICOS LTDA</t>
  </si>
  <si>
    <t>47090782000160</t>
  </si>
  <si>
    <t xml:space="preserve">(11) 4636-4140     </t>
  </si>
  <si>
    <t xml:space="preserve">RODRIGO A. OLIVEIRA </t>
  </si>
  <si>
    <t>DANONE BONAFONT</t>
  </si>
  <si>
    <t>23.643.315/0122-40</t>
  </si>
  <si>
    <t>(11) 4147-1676</t>
  </si>
  <si>
    <t>DELUMA FERRAMENTARIA IND. E COMÉRCIO LTDA</t>
  </si>
  <si>
    <t>Taboao da Serra</t>
  </si>
  <si>
    <t>22.062.104/0001-63</t>
  </si>
  <si>
    <t>4135-2013</t>
  </si>
  <si>
    <t xml:space="preserve">DOUGLAS  </t>
  </si>
  <si>
    <t xml:space="preserve">DENTALCLEAN S/C LTDA </t>
  </si>
  <si>
    <t>Londrina</t>
  </si>
  <si>
    <t>00.099.817/0001-69</t>
  </si>
  <si>
    <t>3174-8537</t>
  </si>
  <si>
    <t xml:space="preserve">ALISSON INACIO </t>
  </si>
  <si>
    <t>DONALDSON DO BRASIL EQUIPAMENTOS INDUSTRIAIS LTDA</t>
  </si>
  <si>
    <t>44.202.232/0001-06</t>
  </si>
  <si>
    <t xml:space="preserve"> 4524 9714</t>
  </si>
  <si>
    <t xml:space="preserve">BRUNO MARCOMINI </t>
  </si>
  <si>
    <t>DORMER PRAMET</t>
  </si>
  <si>
    <t>60.875.580/0001-92</t>
  </si>
  <si>
    <t>(11) 5660-3624 / (11</t>
  </si>
  <si>
    <t>DOW LIMÃO</t>
  </si>
  <si>
    <t>11.272.246/0004-81</t>
  </si>
  <si>
    <t>(11) 2142-2300</t>
  </si>
  <si>
    <t xml:space="preserve">DURR BRASIL LTDA </t>
  </si>
  <si>
    <t>61.067.997.0001-91</t>
  </si>
  <si>
    <t>56333687</t>
  </si>
  <si>
    <t xml:space="preserve">PAULO CRUZ </t>
  </si>
  <si>
    <t>DYNA INDUSTRIA E COMÉRCIO LTDA</t>
  </si>
  <si>
    <t>61.354.148/0001-19</t>
  </si>
  <si>
    <t>(11) 2423-2100</t>
  </si>
  <si>
    <t>ECUS INJEÇÃO LTDA</t>
  </si>
  <si>
    <t xml:space="preserve">05.197.482/0001-35  </t>
  </si>
  <si>
    <t>3377-8126</t>
  </si>
  <si>
    <t>CAMILA DE ALMEIDA BARROS</t>
  </si>
  <si>
    <t>EDSCHA DO BRASIL LTDA</t>
  </si>
  <si>
    <t>02.612.907/0001-37</t>
  </si>
  <si>
    <t>99770-3282</t>
  </si>
  <si>
    <t>HIGOR DE ARAUJO BEZERRA</t>
  </si>
  <si>
    <t>ELDOR DO BRASIL COMPONENTES AUTOMOTIVOS INDÚSTRIA E COMERCIO</t>
  </si>
  <si>
    <t>13.353.050/0002-85</t>
  </si>
  <si>
    <t>19-3115-2014</t>
  </si>
  <si>
    <t>NELSON OKI</t>
  </si>
  <si>
    <t>ELECTROLUX DO BRASIL</t>
  </si>
  <si>
    <t>76.487.032/0001-25</t>
  </si>
  <si>
    <t>3371-7000</t>
  </si>
  <si>
    <t>RHANON BRONGEL SILVEIRA</t>
  </si>
  <si>
    <t>ELECTROLUX DO BRASIL S/A</t>
  </si>
  <si>
    <t>76.487.032/0002-06</t>
  </si>
  <si>
    <t>2106-5377</t>
  </si>
  <si>
    <t>PÉRICLES EDUARDO FRACÁCIO</t>
  </si>
  <si>
    <t>ELRING KLINGER DO BRASIL LTDA</t>
  </si>
  <si>
    <t>Piracicaba</t>
  </si>
  <si>
    <t>01.576.749/0001-44</t>
  </si>
  <si>
    <t>(19)3124-9000</t>
  </si>
  <si>
    <t xml:space="preserve">EMICOL ELETRO ELETRÔNICA S.A </t>
  </si>
  <si>
    <t>61.685.723/0001-66</t>
  </si>
  <si>
    <t>40249909</t>
  </si>
  <si>
    <t>TIAGO RODRIGUES</t>
  </si>
  <si>
    <t>EMS S/A</t>
  </si>
  <si>
    <t>Hortolandia</t>
  </si>
  <si>
    <t>57.507.378/0003-65</t>
  </si>
  <si>
    <t>99464-5121</t>
  </si>
  <si>
    <t>THIAGO</t>
  </si>
  <si>
    <t>EMUGE-FRANKEN FERRAMENTAS DE PRECISÃO LTDA</t>
  </si>
  <si>
    <t>07.911.854/0001-79</t>
  </si>
  <si>
    <t>4534-4771</t>
  </si>
  <si>
    <t>DOUGLAS PAGANI - GERENTE ADM. FINANCEIRO</t>
  </si>
  <si>
    <t>ENGEL DO BRASIL LTDA</t>
  </si>
  <si>
    <t>Cotia</t>
  </si>
  <si>
    <t>03.311.829/0001-01</t>
  </si>
  <si>
    <t>97287-6557</t>
  </si>
  <si>
    <t>RENATO BENATTI</t>
  </si>
  <si>
    <t>ENGIE BRASIL ENERGIA S.A</t>
  </si>
  <si>
    <t>Florianopolis</t>
  </si>
  <si>
    <t>02.474.103/0001-19</t>
  </si>
  <si>
    <t>3458-9003</t>
  </si>
  <si>
    <t>FELLIPPE BONELLI</t>
  </si>
  <si>
    <t>EPCOS DO BRASIL LTDA</t>
  </si>
  <si>
    <t>Gravatai</t>
  </si>
  <si>
    <t>90.285.958/0001-69</t>
  </si>
  <si>
    <t xml:space="preserve">3484 7306 </t>
  </si>
  <si>
    <t xml:space="preserve">DENIS M. AZEVEDO </t>
  </si>
  <si>
    <t>EPSON PAULISTA LTDA</t>
  </si>
  <si>
    <t>Barueri</t>
  </si>
  <si>
    <t>01.554.976/0002-50</t>
  </si>
  <si>
    <t>(11) 4196-6426</t>
  </si>
  <si>
    <t>ESCALA 7 EDITORA GRAFICA LTDA</t>
  </si>
  <si>
    <t>Diadema</t>
  </si>
  <si>
    <t>48.575.260/0001-11</t>
  </si>
  <si>
    <t>3594-3700</t>
  </si>
  <si>
    <t xml:space="preserve">ANTONIO CARLOS BRUSCO </t>
  </si>
  <si>
    <t xml:space="preserve">ESTAMPO TEC INDÚSTRIA E COMÉRCIO LTDA </t>
  </si>
  <si>
    <t>64.999.527/0001-54</t>
  </si>
  <si>
    <t>2487-2977</t>
  </si>
  <si>
    <t xml:space="preserve">ALEXANDRE VILLAR </t>
  </si>
  <si>
    <t>EUROFARMA LABORATÓRIOS S/A</t>
  </si>
  <si>
    <t>61.190.096/0011-64</t>
  </si>
  <si>
    <t>(16) 3512-4900</t>
  </si>
  <si>
    <t>EDUARDO PASSAGLIA</t>
  </si>
  <si>
    <t>F JOHNSON FERRAMENTARIA E INJEÇÃO DE PLASTICOS LTDA</t>
  </si>
  <si>
    <t>07.477.753/0001-31</t>
  </si>
  <si>
    <t>(11) 4075-6400</t>
  </si>
  <si>
    <t>A.W. FABER CASTELL S.A</t>
  </si>
  <si>
    <t>59.596.908/0001-52</t>
  </si>
  <si>
    <t>(16) 2106-1413</t>
  </si>
  <si>
    <t>FACTOPLAST INDUSTRIA E COMERCIO DE PLASTICOS LTDA</t>
  </si>
  <si>
    <t>54.476.270/0001-00</t>
  </si>
  <si>
    <t>2523-6390</t>
  </si>
  <si>
    <t>GABRIEL GONÇALVES</t>
  </si>
  <si>
    <t>FAN TECHNOLOGY RESOURCES - TECNOLOGIA EM SISTEMAS DE VENTILA</t>
  </si>
  <si>
    <t>17.524.330/0001-89</t>
  </si>
  <si>
    <t>(11) 4025-1670</t>
  </si>
  <si>
    <t>FAURECIA AUTOMTIVE DO BRASIL LTDA</t>
  </si>
  <si>
    <t>Betim</t>
  </si>
  <si>
    <t>24.153.233/004-35</t>
  </si>
  <si>
    <t xml:space="preserve">CRISTINA OLIVEIRA DO CARMO </t>
  </si>
  <si>
    <t>FAURECIA AUTOMOTIVE DO BRASIL LTDA.</t>
  </si>
  <si>
    <t>Dias D Avila</t>
  </si>
  <si>
    <t>01.178.298/0010-88</t>
  </si>
  <si>
    <t>(71) 4009-7705</t>
  </si>
  <si>
    <t>FAURECIA AUTOMOTIVE DO BRASIL LTDA</t>
  </si>
  <si>
    <t>Porto Real</t>
  </si>
  <si>
    <t>01.178.298/0015-92</t>
  </si>
  <si>
    <t>(24) 3208-9466</t>
  </si>
  <si>
    <t>01.178.298/0016-73</t>
  </si>
  <si>
    <t>(11) 2139-1328</t>
  </si>
  <si>
    <t>FEEDER INDÚSTRIA LTDA</t>
  </si>
  <si>
    <t>61.914.768/0001-65</t>
  </si>
  <si>
    <t>2413-0075</t>
  </si>
  <si>
    <t>FABIANA SALGADO</t>
  </si>
  <si>
    <t>FEEVALE</t>
  </si>
  <si>
    <t>Novo Hamburgo</t>
  </si>
  <si>
    <t>91.693.531/0001-62</t>
  </si>
  <si>
    <t>ANDERSON BRAUN</t>
  </si>
  <si>
    <t>FERAL METALURGICA</t>
  </si>
  <si>
    <t>Tres Lagoas</t>
  </si>
  <si>
    <t>07.296.787/0001-20</t>
  </si>
  <si>
    <t>2105-8819</t>
  </si>
  <si>
    <t>MARCELO LEOPOLDO</t>
  </si>
  <si>
    <t>FERMOPLAST</t>
  </si>
  <si>
    <t>Nova Friburgo</t>
  </si>
  <si>
    <t>35.781.830/0001-88</t>
  </si>
  <si>
    <t>(22) 2533-0990</t>
  </si>
  <si>
    <t>ULISSES VIEIRA</t>
  </si>
  <si>
    <t>FESTO</t>
  </si>
  <si>
    <t>57.582.793/0001-11</t>
  </si>
  <si>
    <t>(11) 5013-1600</t>
  </si>
  <si>
    <t>FICOSA DO BRASIL</t>
  </si>
  <si>
    <t>Jandira</t>
  </si>
  <si>
    <t>00839627000130</t>
  </si>
  <si>
    <t>46198188</t>
  </si>
  <si>
    <t xml:space="preserve">JOTÃ LIMEIRA DA SILVA </t>
  </si>
  <si>
    <t xml:space="preserve">FILTEC BRASIL </t>
  </si>
  <si>
    <t>14.778.317/0001/68</t>
  </si>
  <si>
    <t>3565-2283</t>
  </si>
  <si>
    <t>LUCAS MONTEIRO</t>
  </si>
  <si>
    <t>FLEXNGATE</t>
  </si>
  <si>
    <t>04.259.490/0002-87</t>
  </si>
  <si>
    <t>3649-5544</t>
  </si>
  <si>
    <t>WELLINGTON FERRARI</t>
  </si>
  <si>
    <t>FOLINI TEXTIL</t>
  </si>
  <si>
    <t>Laurentino</t>
  </si>
  <si>
    <t>07.306.957/0001-00</t>
  </si>
  <si>
    <t>(47) 3546-1500</t>
  </si>
  <si>
    <t>FOSECO INDUSTRIAL E COMERCIAL LTDA</t>
  </si>
  <si>
    <t>51.557.106/0001-21</t>
  </si>
  <si>
    <t>3719-9828</t>
  </si>
  <si>
    <t>Ricardo Konno</t>
  </si>
  <si>
    <t>FOXCONN</t>
  </si>
  <si>
    <t>Santa Rita do Sapucai</t>
  </si>
  <si>
    <t>11.917.738.0001/34</t>
  </si>
  <si>
    <t>(35)  8445-0124</t>
  </si>
  <si>
    <t>DIEGO STELLING</t>
  </si>
  <si>
    <t>FRESENIUS HEMOCARE BRASIL LTDA</t>
  </si>
  <si>
    <t>49.601.107/0006-99</t>
  </si>
  <si>
    <t xml:space="preserve">(11)2183-8809 </t>
  </si>
  <si>
    <t>MARCOS BUSETTE</t>
  </si>
  <si>
    <t>FREUDENBERG-NOK COMPONENTES BRASIL LTDA</t>
  </si>
  <si>
    <t>Salto</t>
  </si>
  <si>
    <t>59.112.359/0006-08</t>
  </si>
  <si>
    <t>(11) 4072-8047</t>
  </si>
  <si>
    <t>59.112.359/0001-01</t>
  </si>
  <si>
    <t>DANIEL RODRIGUES LAMAS</t>
  </si>
  <si>
    <t>FRIBOI</t>
  </si>
  <si>
    <t>02.916.265/0027-07</t>
  </si>
  <si>
    <t>3144-4593</t>
  </si>
  <si>
    <t>RAPHAEL CARVALHO</t>
  </si>
  <si>
    <t xml:space="preserve">FRONTEC </t>
  </si>
  <si>
    <t>São Leopoldo</t>
  </si>
  <si>
    <t>72.178.353/0001-97</t>
  </si>
  <si>
    <t>(51) 3201-2477</t>
  </si>
  <si>
    <t>FROOTY COMERCIO E INDUSTRIA DE ALIMENTOS S.A.</t>
  </si>
  <si>
    <t>Poços de Caldas</t>
  </si>
  <si>
    <t xml:space="preserve">68.093.095/0008-45 </t>
  </si>
  <si>
    <t>3093-7110</t>
  </si>
  <si>
    <t>MARCELO KAWANO</t>
  </si>
  <si>
    <t>FUNDACAO BUTANTAN</t>
  </si>
  <si>
    <t>61.189.445/0001-56</t>
  </si>
  <si>
    <t>FUNDAÇÃO CEARENSE DE PESQUISA E CULTURA</t>
  </si>
  <si>
    <t>Fortaleza</t>
  </si>
  <si>
    <t>05.330.436/0001-62</t>
  </si>
  <si>
    <t>FABIO RIBEIRO</t>
  </si>
  <si>
    <t>FUNDAÇÃO CERTI</t>
  </si>
  <si>
    <t>78.626.363/0001-24</t>
  </si>
  <si>
    <t>(48) 9947-3970</t>
  </si>
  <si>
    <t>FUNDAÇÃO DE CIÊNCIA, APLICAÇÕES E TECNOLOGIA ESPACIAIS – FUN</t>
  </si>
  <si>
    <t>51.619.104/0001-10</t>
  </si>
  <si>
    <t>3925-1345</t>
  </si>
  <si>
    <t>FÁBIO PONTES</t>
  </si>
  <si>
    <t>FUNDACAO EDUCACIONAL SEVERINO SOMBRA</t>
  </si>
  <si>
    <t>Vassouras</t>
  </si>
  <si>
    <t>32.410.037/0001-84</t>
  </si>
  <si>
    <t xml:space="preserve"> (24) 2471-8273</t>
  </si>
  <si>
    <t>FURUKAWA ELETRIC LATAM SA</t>
  </si>
  <si>
    <t>51.775.690/0001-91</t>
  </si>
  <si>
    <t>41 3341-0000</t>
  </si>
  <si>
    <t xml:space="preserve">GABRIEL SOUZA </t>
  </si>
  <si>
    <t>GARDNER DENVER NASH BRASIL IND. E COM. DE BOMBAS LTDA.</t>
  </si>
  <si>
    <t>60.882.776/0001-04</t>
  </si>
  <si>
    <t>ANDRE ESTEVES</t>
  </si>
  <si>
    <t>GAUSS</t>
  </si>
  <si>
    <t>80.777.030/0001-48</t>
  </si>
  <si>
    <t>(41) 3021-2300</t>
  </si>
  <si>
    <t>ALAN</t>
  </si>
  <si>
    <t>GE CELMA LTDA</t>
  </si>
  <si>
    <t>33.435.231.0001/87</t>
  </si>
  <si>
    <t>SIDONIO MOURA</t>
  </si>
  <si>
    <t>GENERAL MOTORS DO BRASIL LTDA</t>
  </si>
  <si>
    <t>São Caetano do Sul</t>
  </si>
  <si>
    <t>59.275.792/0006-64</t>
  </si>
  <si>
    <t>4239-6998</t>
  </si>
  <si>
    <t>MARCIO HENRIQUE ORSINI</t>
  </si>
  <si>
    <t xml:space="preserve">GENEVY CHOCOLATES ESPECIAIS </t>
  </si>
  <si>
    <t>13.229.187/0001-41</t>
  </si>
  <si>
    <t>(11) 5588-3139</t>
  </si>
  <si>
    <t>GISELE CAMARGO</t>
  </si>
  <si>
    <t xml:space="preserve">GLASSER </t>
  </si>
  <si>
    <t>56.502.560/0001-07</t>
  </si>
  <si>
    <t>2488-9199</t>
  </si>
  <si>
    <t>RENILDO P. LIMA</t>
  </si>
  <si>
    <t>GOLD CITRUS</t>
  </si>
  <si>
    <t>Engenheiro Coelho</t>
  </si>
  <si>
    <t>24.965.164/0001-11</t>
  </si>
  <si>
    <t>(19) 9993-1992 / (19</t>
  </si>
  <si>
    <t xml:space="preserve">GRENDENE </t>
  </si>
  <si>
    <t>Sobral</t>
  </si>
  <si>
    <t>89.850.341/0001-60</t>
  </si>
  <si>
    <t>(88) 3613-1001</t>
  </si>
  <si>
    <t>GRUPO AGROLATINA</t>
  </si>
  <si>
    <t>Maringa</t>
  </si>
  <si>
    <t>06.287.157/0003-98</t>
  </si>
  <si>
    <t>(44) 3046-2600</t>
  </si>
  <si>
    <t>WILLYAN BELEZE DE SOUZA</t>
  </si>
  <si>
    <t>GRUPO ANTOLIN IRAUSA S/A</t>
  </si>
  <si>
    <t>Caçapava</t>
  </si>
  <si>
    <t>05.708.402/0001-69</t>
  </si>
  <si>
    <t>3654-4174</t>
  </si>
  <si>
    <t>MARCELO HENRIQUE PERES</t>
  </si>
  <si>
    <t>GRUPO BIMBO</t>
  </si>
  <si>
    <t>35.402.759/0001-85</t>
  </si>
  <si>
    <t>(11) 2177-9092</t>
  </si>
  <si>
    <t>GT DO BRASIL</t>
  </si>
  <si>
    <t>Mauá</t>
  </si>
  <si>
    <t>03.312.613/0001-52</t>
  </si>
  <si>
    <t>39271113</t>
  </si>
  <si>
    <t>VINICIUS DIOGO</t>
  </si>
  <si>
    <t>GUABI PETCARE</t>
  </si>
  <si>
    <t>45.710.423/0001-33</t>
  </si>
  <si>
    <t>31314537</t>
  </si>
  <si>
    <t>ANTONIO MARCOS MARALDI</t>
  </si>
  <si>
    <t>HAGANE FACAS E SERRAS INDUSTRIAIS LTDA</t>
  </si>
  <si>
    <t>66.536.756/0001-68</t>
  </si>
  <si>
    <t xml:space="preserve">2523-7911 </t>
  </si>
  <si>
    <t>LEONARDO PIRES</t>
  </si>
  <si>
    <t xml:space="preserve">HALEXISTAR </t>
  </si>
  <si>
    <t>01.571.702/0001-98</t>
  </si>
  <si>
    <t>(62) 3265-6500</t>
  </si>
  <si>
    <t>HARALD</t>
  </si>
  <si>
    <t>88304001/0002-51</t>
  </si>
  <si>
    <t>(11) 4159-9000</t>
  </si>
  <si>
    <t>HBA - HUTCHINSON BRASIL AUTOMOTIVE LTDA.</t>
  </si>
  <si>
    <t>Extrema</t>
  </si>
  <si>
    <t>52.850.682/0010-16</t>
  </si>
  <si>
    <t>3435- 9221</t>
  </si>
  <si>
    <t>RODRIGO PAIXÃO</t>
  </si>
  <si>
    <t>HEINZ BRASIL S.A</t>
  </si>
  <si>
    <t>Neropolis</t>
  </si>
  <si>
    <t>50.955.707/0004-72</t>
  </si>
  <si>
    <t>3513-8200</t>
  </si>
  <si>
    <t>BIANCA ALVES</t>
  </si>
  <si>
    <t>HERSHEY DO BRASIL LTDA</t>
  </si>
  <si>
    <t>São Roque</t>
  </si>
  <si>
    <t xml:space="preserve">	04.429.377/0001-11</t>
  </si>
  <si>
    <t>4713 9000</t>
  </si>
  <si>
    <t>HENRY MARCELL BRAVIN</t>
  </si>
  <si>
    <t>HIPER PACK</t>
  </si>
  <si>
    <t>Caxias do Sul</t>
  </si>
  <si>
    <t>05.853.030/0001-64</t>
  </si>
  <si>
    <t>3217.9099</t>
  </si>
  <si>
    <t>MAURICIO PAGNO</t>
  </si>
  <si>
    <t>HIPERCON</t>
  </si>
  <si>
    <t>Santos</t>
  </si>
  <si>
    <t>57.246.266/0001-36</t>
  </si>
  <si>
    <t>3228-4100</t>
  </si>
  <si>
    <t>HITACHI ASTEMO CAMPINAS LTDA</t>
  </si>
  <si>
    <t>13.625.300/0001-08</t>
  </si>
  <si>
    <t>(19) 2101-5176/ (19)</t>
  </si>
  <si>
    <t>HONDA AUTOMÓVEIS DO BRASIL LTDA</t>
  </si>
  <si>
    <t>01.192.333/0001-22</t>
  </si>
  <si>
    <t>3864-4274</t>
  </si>
  <si>
    <t>ERIKA SASAZAWA</t>
  </si>
  <si>
    <t>HONEYWELL</t>
  </si>
  <si>
    <t>45.988.045/0018-00</t>
  </si>
  <si>
    <t>(11)2167-3000</t>
  </si>
  <si>
    <t xml:space="preserve">HUF DO BRASIL </t>
  </si>
  <si>
    <t>Atibaia</t>
  </si>
  <si>
    <t>01.941.597/0001-31</t>
  </si>
  <si>
    <t>(11) 3402-6053</t>
  </si>
  <si>
    <t>HULTER INDÚSTRIA E COMERCIO DE PEÇAS PARA REFRIGERAÇÃO LTDA</t>
  </si>
  <si>
    <t>17.352.826/0001-12</t>
  </si>
  <si>
    <t>2533-6599</t>
  </si>
  <si>
    <t xml:space="preserve">FELIPE VIEIRA SANCHEZ </t>
  </si>
  <si>
    <t>HUNTER DO BRASIL ( SENNINGER DO BRASIL )</t>
  </si>
  <si>
    <t>Jaguariuna</t>
  </si>
  <si>
    <t>05.654.581/0001-07</t>
  </si>
  <si>
    <t>(19) 2511-2624</t>
  </si>
  <si>
    <t xml:space="preserve">HYDAC </t>
  </si>
  <si>
    <t>016972790001-77</t>
  </si>
  <si>
    <t>4393-6600</t>
  </si>
  <si>
    <t>HYPERMARCAS SA</t>
  </si>
  <si>
    <t>02.932.074.0031/07</t>
  </si>
  <si>
    <t xml:space="preserve">(11) 4784- 8675 </t>
  </si>
  <si>
    <t>ANDERSON MOURA</t>
  </si>
  <si>
    <t xml:space="preserve">IAM - INDUSTRIA AUTO METALÚRGICA S/A </t>
  </si>
  <si>
    <t>61.199.550/0001-76</t>
  </si>
  <si>
    <t xml:space="preserve">2344-4508 </t>
  </si>
  <si>
    <t>RICARDO NOTARIO</t>
  </si>
  <si>
    <t>IBER-OLEFF BRASIL LTDA</t>
  </si>
  <si>
    <t>02.511.054/0001-47</t>
  </si>
  <si>
    <t>4602 8270</t>
  </si>
  <si>
    <t>JÚLIO MASSEI</t>
  </si>
  <si>
    <t>IBG</t>
  </si>
  <si>
    <t>Guaira</t>
  </si>
  <si>
    <t>32.873.282/0001-28</t>
  </si>
  <si>
    <t>(17) 3330-6000</t>
  </si>
  <si>
    <t>IBRACIL</t>
  </si>
  <si>
    <t>59.297.127/0001-67</t>
  </si>
  <si>
    <t>4223-1710</t>
  </si>
  <si>
    <t>EMILENA MAURICIO</t>
  </si>
  <si>
    <t>IKM TESTING BRASIL LTDA.</t>
  </si>
  <si>
    <t>Serra</t>
  </si>
  <si>
    <t>11.491.125/0001-88</t>
  </si>
  <si>
    <t>(27) 3218-5464</t>
  </si>
  <si>
    <t>IMPACTA</t>
  </si>
  <si>
    <t>61.194.494/0001-87</t>
  </si>
  <si>
    <t>4447-7367</t>
  </si>
  <si>
    <t>MARLON TEIXEIRA</t>
  </si>
  <si>
    <t>INDUSTRIA E COMERCIO DE MOLDURAS SANTA LUZIA LTDA</t>
  </si>
  <si>
    <t>RO</t>
  </si>
  <si>
    <t>Santa Luzia D Oeste</t>
  </si>
  <si>
    <t>75.821.546/0001-02</t>
  </si>
  <si>
    <t>3651-1317</t>
  </si>
  <si>
    <t>INDÚSTRIA MECÂNICA SAMOT LTDA</t>
  </si>
  <si>
    <t>56.912.124/0001-06</t>
  </si>
  <si>
    <t>3014 4411</t>
  </si>
  <si>
    <t>FELIPE LEONELLO</t>
  </si>
  <si>
    <t>INOVA SOROCABA</t>
  </si>
  <si>
    <t>09.399.083/0001-08</t>
  </si>
  <si>
    <t>(15) 3416-6160</t>
  </si>
  <si>
    <t xml:space="preserve">INOVAO COSMETICOS </t>
  </si>
  <si>
    <t>16.911.189/0001-04</t>
  </si>
  <si>
    <t>INTEP INDUSTRIA PLASTICA LTDA</t>
  </si>
  <si>
    <t>09.521.615/0001-38</t>
  </si>
  <si>
    <t xml:space="preserve"> 4417-7084</t>
  </si>
  <si>
    <t xml:space="preserve">CARLOS BUENO </t>
  </si>
  <si>
    <t>INTERCOS DO BRASIL INDUSTRIA E COMERCIO DE PRODUTOS COSMETIC</t>
  </si>
  <si>
    <t>15.197.099/0001-30</t>
  </si>
  <si>
    <t>97342-6105</t>
  </si>
  <si>
    <t xml:space="preserve">CARLOS LOSASSO </t>
  </si>
  <si>
    <t>ITW AUTOMOTIVO BRASIL</t>
  </si>
  <si>
    <t>33.034.935/0001-48</t>
  </si>
  <si>
    <t>5515-5868</t>
  </si>
  <si>
    <t>RICARDO PEREIRA</t>
  </si>
  <si>
    <t>JANSSEN-CILAG FARMACEUTICA LTDA</t>
  </si>
  <si>
    <t>51.780.468/0002-68</t>
  </si>
  <si>
    <t>997749864</t>
  </si>
  <si>
    <t>MARCOS ROGERIO</t>
  </si>
  <si>
    <t>JBS FOODS</t>
  </si>
  <si>
    <t>Lages</t>
  </si>
  <si>
    <t>02.914.460/0216-62</t>
  </si>
  <si>
    <t>3251-2069</t>
  </si>
  <si>
    <t>RICARDO MARTENDAL</t>
  </si>
  <si>
    <t>JBS S/A</t>
  </si>
  <si>
    <t>Lins</t>
  </si>
  <si>
    <t>02.916.265/0173-05</t>
  </si>
  <si>
    <t>JINT ACABAMENTOS E SOLUÇÕES GRAFICAS</t>
  </si>
  <si>
    <t>07.038.452/0001-01</t>
  </si>
  <si>
    <t>4223-4410</t>
  </si>
  <si>
    <t>MILTO FRANCISCO DA SILVA</t>
  </si>
  <si>
    <t>JOHNSON - SJC</t>
  </si>
  <si>
    <t>54.516.661/0002-84</t>
  </si>
  <si>
    <t>(12)3932-3100</t>
  </si>
  <si>
    <t>JOHNSON &amp; JOHNSON</t>
  </si>
  <si>
    <t>59.748.988/0001-14</t>
  </si>
  <si>
    <t>(12) 3932-1786</t>
  </si>
  <si>
    <t xml:space="preserve">JOYSON SAFETY BRASIL LTDA </t>
  </si>
  <si>
    <t>59.106.245/0001-40</t>
  </si>
  <si>
    <t>4585-3750</t>
  </si>
  <si>
    <t>SERGIO SILVA</t>
  </si>
  <si>
    <t xml:space="preserve">KAUTEX </t>
  </si>
  <si>
    <t>Guararema</t>
  </si>
  <si>
    <t>00.891.935/0001-05</t>
  </si>
  <si>
    <t>(11) 2175-8300</t>
  </si>
  <si>
    <t>GABRIEL FERNANDES</t>
  </si>
  <si>
    <t>KAUTEX BAHIA</t>
  </si>
  <si>
    <t>00.891.935/0003-77</t>
  </si>
  <si>
    <t xml:space="preserve">(71) 3649-3148     </t>
  </si>
  <si>
    <t>KAUTRA</t>
  </si>
  <si>
    <t>São José dos Pinhais</t>
  </si>
  <si>
    <t>21434159/0001-94</t>
  </si>
  <si>
    <t>(41)3364-1764</t>
  </si>
  <si>
    <t xml:space="preserve">KENNAMETAL DO BRASIL LTDA </t>
  </si>
  <si>
    <t>02.696.800/0001-14</t>
  </si>
  <si>
    <t>3936-9200</t>
  </si>
  <si>
    <t xml:space="preserve">CLAYTON PEREIRA </t>
  </si>
  <si>
    <t>KEPLER WEBER INDUSTRIAL S/A</t>
  </si>
  <si>
    <t>Panambi</t>
  </si>
  <si>
    <t>87.288.940/0001-06</t>
  </si>
  <si>
    <t>(55) 3754-000 / (55)</t>
  </si>
  <si>
    <t>MAURO</t>
  </si>
  <si>
    <t>KIMBERLY ELDORADO DO SUL</t>
  </si>
  <si>
    <t>Eldorado do Sul</t>
  </si>
  <si>
    <t>02.290.277.0020-94</t>
  </si>
  <si>
    <t>KIMBERLY SUZANO</t>
  </si>
  <si>
    <t>02.290.277/0019-50</t>
  </si>
  <si>
    <t>99742-7749.</t>
  </si>
  <si>
    <t>FELIPE MARQUES</t>
  </si>
  <si>
    <t>KLIPPAN SAFETY</t>
  </si>
  <si>
    <t>19.969.453/0001-59</t>
  </si>
  <si>
    <t>98868-2157</t>
  </si>
  <si>
    <t xml:space="preserve">UILTON ARIOSA </t>
  </si>
  <si>
    <t>KNAUF DO BRASIL LTDA</t>
  </si>
  <si>
    <t>Queimados</t>
  </si>
  <si>
    <t>02.082.558/0001-99</t>
  </si>
  <si>
    <t>2195 1108</t>
  </si>
  <si>
    <t>KLEITON SANTOS</t>
  </si>
  <si>
    <t>KOMATSU DO BRASIL</t>
  </si>
  <si>
    <t>KRJ - INDUSTRIA E COMERCIO LTDA.</t>
  </si>
  <si>
    <t>05.256.504/0002-71</t>
  </si>
  <si>
    <t>(11) 2971-2300</t>
  </si>
  <si>
    <t>KRJ IND E COMERCIO LTDA</t>
  </si>
  <si>
    <t>05.256.504/0001-90</t>
  </si>
  <si>
    <t>KROMBERG &amp; SCHUBERT</t>
  </si>
  <si>
    <t>03.574.096/0001-90</t>
  </si>
  <si>
    <t>LA BASQUE ALIMENTOS LTDA</t>
  </si>
  <si>
    <t>44.930.204/0001-05</t>
  </si>
  <si>
    <t>37561950</t>
  </si>
  <si>
    <t xml:space="preserve">JOSE JUNIOR PIVA </t>
  </si>
  <si>
    <t>LABORATÓRIO CATARINENSE LTDA</t>
  </si>
  <si>
    <t>84.684.620/0001-87</t>
  </si>
  <si>
    <t>3451-9067</t>
  </si>
  <si>
    <t>ALAN DANTAS ROCHA</t>
  </si>
  <si>
    <t>LABORATORIO TEUTO BRASILEIRO S/A</t>
  </si>
  <si>
    <t>17.159.229/000176</t>
  </si>
  <si>
    <t>3310-2159</t>
  </si>
  <si>
    <t>LABORATÓRIOS B.BRAUN S/A,</t>
  </si>
  <si>
    <t>São Gonçalo</t>
  </si>
  <si>
    <t>31.673.254/0001-02</t>
  </si>
  <si>
    <t>ANNA CAROLINE REIS</t>
  </si>
  <si>
    <t>LANXESS - INDUSTRIA DE PRODUTOS QUIMICOS E PLASTICOS LTDA.</t>
  </si>
  <si>
    <t>Porto Feliz</t>
  </si>
  <si>
    <t>06.176.436/0002-01</t>
  </si>
  <si>
    <t>3261-9315</t>
  </si>
  <si>
    <t>ENG. FRANCISCO CESAR TOFANETTO</t>
  </si>
  <si>
    <t>LEAR</t>
  </si>
  <si>
    <t>01.998.585/0019-72</t>
  </si>
  <si>
    <t>(47) 3801-6600/ (47)</t>
  </si>
  <si>
    <t>LEAR DO BRASIL IND E COMERCIO DE INTERIORES AUTOMOTIVO LTDA</t>
  </si>
  <si>
    <t xml:space="preserve">	01.998.585/0001-43</t>
  </si>
  <si>
    <t>3654-7080</t>
  </si>
  <si>
    <t>DANIEL S FERRARI</t>
  </si>
  <si>
    <t xml:space="preserve">LIEBHERR BRASIL </t>
  </si>
  <si>
    <t>Guaratingueta</t>
  </si>
  <si>
    <t>44.021.095/0001-03</t>
  </si>
  <si>
    <t>2131-3914</t>
  </si>
  <si>
    <t>LUIZ COELHO</t>
  </si>
  <si>
    <t xml:space="preserve">LIOTECNICA </t>
  </si>
  <si>
    <t>61.297.784/0001-56</t>
  </si>
  <si>
    <t>(11) 4785-2300</t>
  </si>
  <si>
    <t>JONAS DOMINGUES BUENO</t>
  </si>
  <si>
    <t>LOREAL</t>
  </si>
  <si>
    <t>33.306.929/0007-98</t>
  </si>
  <si>
    <t>(11)6916-9590</t>
  </si>
  <si>
    <t>Rene</t>
  </si>
  <si>
    <t xml:space="preserve">LORENZETTI </t>
  </si>
  <si>
    <t>61.413.282/0001-43</t>
  </si>
  <si>
    <t>(11) 2065-7200</t>
  </si>
  <si>
    <t>Mario / Haroldo</t>
  </si>
  <si>
    <t>LUPO S/A</t>
  </si>
  <si>
    <t>Araraquara</t>
  </si>
  <si>
    <t>43.948.405.0001/69</t>
  </si>
  <si>
    <t>3303-4087</t>
  </si>
  <si>
    <t>JULIANA ZACARIAS</t>
  </si>
  <si>
    <t xml:space="preserve">LUXOTTICA BRASIL PRODUTOS OTICOS E ESPORTIVOS LTDA </t>
  </si>
  <si>
    <t>04.692.027/0013-87</t>
  </si>
  <si>
    <t>9 7357-6073</t>
  </si>
  <si>
    <t xml:space="preserve">CASSIO FURLAN                    </t>
  </si>
  <si>
    <t>MAC JEE</t>
  </si>
  <si>
    <t>Paraibuna</t>
  </si>
  <si>
    <t>17.285.030/0001-94</t>
  </si>
  <si>
    <t>2012-4100</t>
  </si>
  <si>
    <t xml:space="preserve">EMERSON ROSA </t>
  </si>
  <si>
    <t>MACLUX</t>
  </si>
  <si>
    <t>Palhoça</t>
  </si>
  <si>
    <t>03.540.423/0001-92</t>
  </si>
  <si>
    <t>WLADIMIR FRANCO</t>
  </si>
  <si>
    <t>MAGNA DO BRASIL PRODUTOS E SERVIÇOS AUTOMOTIVOS LTDA</t>
  </si>
  <si>
    <t>00.970.934/0001-56</t>
  </si>
  <si>
    <t>3826-7326</t>
  </si>
  <si>
    <t>EDUARDO VIEL</t>
  </si>
  <si>
    <t>MAGNETI MARELLI - CONTAGEM - MG</t>
  </si>
  <si>
    <t>02.990.605/0001-00</t>
  </si>
  <si>
    <t>(31) 2129-5223</t>
  </si>
  <si>
    <t>MAGNETI MARELLI - ITAÚNA - MG</t>
  </si>
  <si>
    <t>01.111.971/0001-71</t>
  </si>
  <si>
    <t>3074 0756</t>
  </si>
  <si>
    <t>FILIPE HERCULANO</t>
  </si>
  <si>
    <t>MAGNETI MARELLI HORTOLÂNDIA</t>
  </si>
  <si>
    <t>02.990.605/0009-50</t>
  </si>
  <si>
    <t>ANDERSON DE ALMEIDA SANTOS</t>
  </si>
  <si>
    <t xml:space="preserve">MAGO </t>
  </si>
  <si>
    <t>53.509.568/0001-07</t>
  </si>
  <si>
    <t>2197-3200</t>
  </si>
  <si>
    <t>ALEXANDRE</t>
  </si>
  <si>
    <t xml:space="preserve">MAHLE </t>
  </si>
  <si>
    <t>Mogi-Guaçu</t>
  </si>
  <si>
    <t>60.476.884/0001-87</t>
  </si>
  <si>
    <t xml:space="preserve"> (19) 3861 9100</t>
  </si>
  <si>
    <t>MAHLE ARUJÁ</t>
  </si>
  <si>
    <t>Arujá</t>
  </si>
  <si>
    <t>56.167.091/0001-09</t>
  </si>
  <si>
    <t>4652-0842</t>
  </si>
  <si>
    <t>ANDERSON MARTINS CAMPIONI</t>
  </si>
  <si>
    <t>MAHLE METAL SÃO BERNARDO</t>
  </si>
  <si>
    <t>60.476.884/0017-44</t>
  </si>
  <si>
    <t xml:space="preserve">4178-2277 </t>
  </si>
  <si>
    <t>JOSE ROBERTO TADEU DE NICOLA</t>
  </si>
  <si>
    <t>MARCEGAGLIA DO BRASIL LTDA</t>
  </si>
  <si>
    <t>Garuva</t>
  </si>
  <si>
    <t>02.173.216/0001-84</t>
  </si>
  <si>
    <t>FLAVIO FEUSER</t>
  </si>
  <si>
    <t>MARS CHOCOLATE LATIN AMERICA</t>
  </si>
  <si>
    <t>29.737.368/0034-87</t>
  </si>
  <si>
    <t>(11) 4693-8100</t>
  </si>
  <si>
    <t>Serpa</t>
  </si>
  <si>
    <t>MAZURKY</t>
  </si>
  <si>
    <t>06.209.559/0001-02</t>
  </si>
  <si>
    <t>4509-6008</t>
  </si>
  <si>
    <t>MARCEL MARZUKYEWISTZ</t>
  </si>
  <si>
    <t>MEGATECH BRASIL COMPONENTES AUTOMOTIVOS LTDA</t>
  </si>
  <si>
    <t>Quatro Barras</t>
  </si>
  <si>
    <t>57.879.827/0003-04</t>
  </si>
  <si>
    <t>2104-1073</t>
  </si>
  <si>
    <t>LAUDELINA NEVES</t>
  </si>
  <si>
    <t>MELHORAMENTOS PAPÉIS LTDA</t>
  </si>
  <si>
    <t>44.145.845/0002-21</t>
  </si>
  <si>
    <t>(11) 3874-7600</t>
  </si>
  <si>
    <t xml:space="preserve">METALURGICA SETE DE SETEMBRO LTDA </t>
  </si>
  <si>
    <t>01.603.041/0001-35</t>
  </si>
  <si>
    <t>METALSA BRASIL INDUSTRIA E COMERCIO DE AUTOPEÇAS LTDA</t>
  </si>
  <si>
    <t>Osasco</t>
  </si>
  <si>
    <t>11.352.784/0001-33</t>
  </si>
  <si>
    <t>3686-3465</t>
  </si>
  <si>
    <t>FRANCISCO OLIVEIRA</t>
  </si>
  <si>
    <t>METALURGICA DENK LTDA</t>
  </si>
  <si>
    <t>82.770.017/0001-92</t>
  </si>
  <si>
    <t>3631-9401</t>
  </si>
  <si>
    <t>METALURGICA NAKAYONE LTDA</t>
  </si>
  <si>
    <t>57.373.375/0002-03</t>
  </si>
  <si>
    <t xml:space="preserve">4529-1615 </t>
  </si>
  <si>
    <t>DIONE BARBOSA</t>
  </si>
  <si>
    <t>MHM RADIADORES LTDA EPP</t>
  </si>
  <si>
    <t>59.643.239/0001-22</t>
  </si>
  <si>
    <t>(11) 4748-2090</t>
  </si>
  <si>
    <t>MIBA SINTER BRASIL LTDA</t>
  </si>
  <si>
    <t>Indaituba</t>
  </si>
  <si>
    <t>45.542.453/0001-88</t>
  </si>
  <si>
    <t xml:space="preserve"> 3834-9961</t>
  </si>
  <si>
    <t xml:space="preserve">DAVID PEREIRA DOS SANTOS </t>
  </si>
  <si>
    <t>MINEBEA ACCESSSOLUTIONS SAO PAULO LTDA</t>
  </si>
  <si>
    <t>Itupeva</t>
  </si>
  <si>
    <t>08.735.007/0002-44</t>
  </si>
  <si>
    <t>4496-5435</t>
  </si>
  <si>
    <t>GUSTAVO HENRIQUE DONADON LEVY</t>
  </si>
  <si>
    <t>MINEBEA ACCESSSOLUTIONS SOUTH AMERICA</t>
  </si>
  <si>
    <t>17.465.122/0001-56</t>
  </si>
  <si>
    <t>2138-3042</t>
  </si>
  <si>
    <t>CLEIDSON ALBUQUERQUE</t>
  </si>
  <si>
    <t>MMA INDUSTRIA E COMERCIO DE BIJUTERIAS LTDA</t>
  </si>
  <si>
    <t>04.942.899/0001-12</t>
  </si>
  <si>
    <t>(11) 4837-6001 / (11</t>
  </si>
  <si>
    <t>MODINE DO BRASIL SISTEMAS TERMICOS LTDA.</t>
  </si>
  <si>
    <t>03.310.685/0002-41</t>
  </si>
  <si>
    <t>(11) 2487-1800</t>
  </si>
  <si>
    <t>MOGAI TECNOLOGIA DE INFORMAÇÃO S.A</t>
  </si>
  <si>
    <t>Vitoria</t>
  </si>
  <si>
    <t>02.302.296/0001-20</t>
  </si>
  <si>
    <t>(27) 3337-1818</t>
  </si>
  <si>
    <t>LABORATÓRIO AVAMILLER DE COSMÉTICOS LTDA</t>
  </si>
  <si>
    <t>62.823.752/0001-00</t>
  </si>
  <si>
    <t xml:space="preserve">2487-2802 </t>
  </si>
  <si>
    <t>SAMUEL TIAGO LIMA</t>
  </si>
  <si>
    <t>MWM MOTORES E GERADORES</t>
  </si>
  <si>
    <t>02.162.259/0003-26</t>
  </si>
  <si>
    <t>(11) 3882-3200</t>
  </si>
  <si>
    <t>NADIR FIGUEIREDO S.A.</t>
  </si>
  <si>
    <t>61.067.161/0018-35</t>
  </si>
  <si>
    <t>4741.8500</t>
  </si>
  <si>
    <t xml:space="preserve">THIAGO SILVEIRA </t>
  </si>
  <si>
    <t>NATURA LTDA</t>
  </si>
  <si>
    <t>00.190.373/0001-72</t>
  </si>
  <si>
    <t>11 4446 4269</t>
  </si>
  <si>
    <t>NEODENT</t>
  </si>
  <si>
    <t>00.489.050/0001-84</t>
  </si>
  <si>
    <t xml:space="preserve">(41) 2169 - 4000 </t>
  </si>
  <si>
    <t>LEANDRO MARTINS</t>
  </si>
  <si>
    <t>NESTLÉ</t>
  </si>
  <si>
    <t>60.409.075.0111-97</t>
  </si>
  <si>
    <t>(12) 3654-1168</t>
  </si>
  <si>
    <t>Niterra (NGK)</t>
  </si>
  <si>
    <t>52.541.760/0001-00</t>
  </si>
  <si>
    <t>4793-8143</t>
  </si>
  <si>
    <t xml:space="preserve">CLÓVIS M. OKITSU </t>
  </si>
  <si>
    <t xml:space="preserve">NICHIBRAS </t>
  </si>
  <si>
    <t>54.251.293/0001-09</t>
  </si>
  <si>
    <t>(11) 4785-2200</t>
  </si>
  <si>
    <t>ROBSON S DE LIMA</t>
  </si>
  <si>
    <t>NIDEC</t>
  </si>
  <si>
    <t>07.760.479/0001-03</t>
  </si>
  <si>
    <t xml:space="preserve">(19) 3517 5989 </t>
  </si>
  <si>
    <t xml:space="preserve">LEONARDO MARQUES BATISTA GOMES                    </t>
  </si>
  <si>
    <t>NISSIN FOODS DO BRASIL LTDA</t>
  </si>
  <si>
    <t>60.945.169/0001-37</t>
  </si>
  <si>
    <t>3094-5900</t>
  </si>
  <si>
    <t>RAFAEL MINUTTI</t>
  </si>
  <si>
    <t xml:space="preserve">NITRO QUIMICA </t>
  </si>
  <si>
    <t>61.150.348/0001-50</t>
  </si>
  <si>
    <t xml:space="preserve">2246-3210 </t>
  </si>
  <si>
    <t xml:space="preserve">NATHALIA FLINKAS DE ARGOLLO BASTOS </t>
  </si>
  <si>
    <t>NORTEL SUPRIMENTOS INDUSTRIAIS LTDA</t>
  </si>
  <si>
    <t>46.044.053/0029-06</t>
  </si>
  <si>
    <t>2102-7700</t>
  </si>
  <si>
    <t>HENRIQUE GIORGINI PADILIA LUCAS</t>
  </si>
  <si>
    <t>NSK BRASIL LTDA</t>
  </si>
  <si>
    <t>71.917.181/0001-63</t>
  </si>
  <si>
    <t>4744-2606</t>
  </si>
  <si>
    <t>NUTRIMENTAL</t>
  </si>
  <si>
    <t>76.633.890/0026-99</t>
  </si>
  <si>
    <t>(41) 3299 - 1173</t>
  </si>
  <si>
    <t xml:space="preserve">CAIO </t>
  </si>
  <si>
    <t>OLIMPIC INDUSTRIA DE AUTOPECAS LTDA</t>
  </si>
  <si>
    <t>61.468.401/0001-65</t>
  </si>
  <si>
    <t>6120-6500</t>
  </si>
  <si>
    <t>OMRON ELETRONICA DO BRASIL LTDA</t>
  </si>
  <si>
    <t>Louveira</t>
  </si>
  <si>
    <t>51.224.830/0006-48</t>
  </si>
  <si>
    <t>5171-8957</t>
  </si>
  <si>
    <t>RAFAEL BOTINO</t>
  </si>
  <si>
    <t xml:space="preserve">OMRON ELETRÔNICA DO BRASIL LTDA </t>
  </si>
  <si>
    <t>51.224.830/0001-33</t>
  </si>
  <si>
    <t>5171 - 8957</t>
  </si>
  <si>
    <t xml:space="preserve">EDICLEY MACHADO </t>
  </si>
  <si>
    <t>OWENS-ILLINOIS DO BRASIL INDUSTRIA E COMERCIO LTDA</t>
  </si>
  <si>
    <t>08.910.541/0003-20</t>
  </si>
  <si>
    <t>(11) 2542-8000 / (11</t>
  </si>
  <si>
    <t>PANASONIC DO BRASIL LIMITADA</t>
  </si>
  <si>
    <t>04.403.408/0013-07</t>
  </si>
  <si>
    <t>3435-8300</t>
  </si>
  <si>
    <t>PARKER FILTROS SJC</t>
  </si>
  <si>
    <t>54.823.455/0007-21</t>
  </si>
  <si>
    <t>4009-3615</t>
  </si>
  <si>
    <t>RAONI FERREIRA</t>
  </si>
  <si>
    <t>PARKER HANNIFIN INDÚSTRIA E COMÉRCIO LTDA</t>
  </si>
  <si>
    <t>Jacarei</t>
  </si>
  <si>
    <t>54.823.455/0008-02</t>
  </si>
  <si>
    <t>3954-5707</t>
  </si>
  <si>
    <t>LUIS CARLOS PEREIRA COMISSÁRIO</t>
  </si>
  <si>
    <t>PECCININ</t>
  </si>
  <si>
    <t>Limeira</t>
  </si>
  <si>
    <t>60.938.404/0001-52</t>
  </si>
  <si>
    <t xml:space="preserve">GUILHERME DIOTTO </t>
  </si>
  <si>
    <t>PECVAL INDÚSTRIA LTDA</t>
  </si>
  <si>
    <t>02.224.977/0001-18</t>
  </si>
  <si>
    <t>KELVYN MACHADO</t>
  </si>
  <si>
    <t>PERFETTI VAN MELLE BRASIL LTDA</t>
  </si>
  <si>
    <t>02097007/0001-07</t>
  </si>
  <si>
    <t>3876-7800</t>
  </si>
  <si>
    <t>BRUNO BENTO</t>
  </si>
  <si>
    <t xml:space="preserve">PHILIPS </t>
  </si>
  <si>
    <t>61.086.336/0144-06</t>
  </si>
  <si>
    <t>(35) 3219-7000</t>
  </si>
  <si>
    <t>PLACO MOGI DAS CRUZES</t>
  </si>
  <si>
    <t>00.700.460/0001-22</t>
  </si>
  <si>
    <t>3186-8659</t>
  </si>
  <si>
    <t>ALINE BARBOSA</t>
  </si>
  <si>
    <t>PLASTIC - MATRIZ</t>
  </si>
  <si>
    <t>02.645.941/0001-08</t>
  </si>
  <si>
    <t>(12) 2125-0914</t>
  </si>
  <si>
    <t>PLASTIC OMNIUM AUTO INERGY DO BRASIL LTDA</t>
  </si>
  <si>
    <t>Piraquara</t>
  </si>
  <si>
    <t>02.814.286/0002-55</t>
  </si>
  <si>
    <t>(15)33162014</t>
  </si>
  <si>
    <t>LAURA MORENO</t>
  </si>
  <si>
    <t>PLASTIC OMNIUM FILIAL</t>
  </si>
  <si>
    <t>02.645.941/0003-70</t>
  </si>
  <si>
    <t>EDESIO</t>
  </si>
  <si>
    <t>POLIMETRI</t>
  </si>
  <si>
    <t>50.188.150/0001-49</t>
  </si>
  <si>
    <t>4512-6970</t>
  </si>
  <si>
    <t>DANIEL ASSENCIO</t>
  </si>
  <si>
    <t xml:space="preserve">PPA CONFORTO COM SEGURANÇA </t>
  </si>
  <si>
    <t>Garça</t>
  </si>
  <si>
    <t>52.605.821/0001-55</t>
  </si>
  <si>
    <t>9.8158.3615</t>
  </si>
  <si>
    <t>MATHEUS RODRIGUES DE SOUZA</t>
  </si>
  <si>
    <t>PREDILECTA ALIMENTOS LTDA</t>
  </si>
  <si>
    <t>Matão</t>
  </si>
  <si>
    <t>62.546.387/0001-33</t>
  </si>
  <si>
    <t>3383-4164</t>
  </si>
  <si>
    <t>MARCOS</t>
  </si>
  <si>
    <t xml:space="preserve">PROMETEON TYRE GROUP INDUSTRIA BR LTDA </t>
  </si>
  <si>
    <t>22.301.988/0005-95</t>
  </si>
  <si>
    <t>4998-5011</t>
  </si>
  <si>
    <t>FERNANDA CARLA VIEIRA</t>
  </si>
  <si>
    <t>PROMETEON TYRE GROUP INDUSTRIA BRASIL LTDA.</t>
  </si>
  <si>
    <t>22.301.988/0001-61</t>
  </si>
  <si>
    <t xml:space="preserve"> 98782-0931 </t>
  </si>
  <si>
    <t>ANTONINE EPAMINONDAS</t>
  </si>
  <si>
    <t>PURATOS ( MATRIZ )</t>
  </si>
  <si>
    <t>27.663.293/0001-43</t>
  </si>
  <si>
    <t>(11) 2404-7300</t>
  </si>
  <si>
    <t>PURATOS BRASIL LTDA ( FILIAL - CENTRO DE INOVAÇÕES )</t>
  </si>
  <si>
    <t>27.663.293/0008-10</t>
  </si>
  <si>
    <t>PURATOS BRASIL LTDA ( FILIAL - CENTRO LOGISTICO )</t>
  </si>
  <si>
    <t>27.663.293/0006-58</t>
  </si>
  <si>
    <t>(11) 3141-3612 / (11</t>
  </si>
  <si>
    <t>PURATOS BRASIL LTDA.</t>
  </si>
  <si>
    <t>11 97563-0707</t>
  </si>
  <si>
    <t>VIVIANE</t>
  </si>
  <si>
    <t>PW INDUSTRIA E COMERCIO DE COMPONENTES LTDA</t>
  </si>
  <si>
    <t>59.819.938/0001-80</t>
  </si>
  <si>
    <t>4654-8444</t>
  </si>
  <si>
    <t>CARLOS ROBERTO RAIMAN MONDACA</t>
  </si>
  <si>
    <t>QUALIPAC</t>
  </si>
  <si>
    <t>03.841.700/0004-40</t>
  </si>
  <si>
    <t xml:space="preserve">4446-7816 </t>
  </si>
  <si>
    <t>GUSTAVO KOTZENT</t>
  </si>
  <si>
    <t>RANALLE COMPONENTES AUTOMOTIVO LTDA</t>
  </si>
  <si>
    <t>04.659.149/0001-38</t>
  </si>
  <si>
    <t>CARLOS OLIVEIRA</t>
  </si>
  <si>
    <t>RASSINI-NHK</t>
  </si>
  <si>
    <t>61.142.063/0001-77</t>
  </si>
  <si>
    <t>4366-9313</t>
  </si>
  <si>
    <t xml:space="preserve">RAVIBRAS EMBALAGENS DA AMAZONIA LTDA </t>
  </si>
  <si>
    <t>08.658.519.0001/73</t>
  </si>
  <si>
    <t>3615-3777</t>
  </si>
  <si>
    <t>RAVIBRAS EMBALAGENS DA AMAZONIA LTDA</t>
  </si>
  <si>
    <t>RCN INDUSTRIAS METALURGICAS S.A.</t>
  </si>
  <si>
    <t>61.383.584/0001-16</t>
  </si>
  <si>
    <t>2095-9222</t>
  </si>
  <si>
    <t>FÁBIO E. MARTINS</t>
  </si>
  <si>
    <t>RECKITT BENCKISER</t>
  </si>
  <si>
    <t>59.557.124/0001-15</t>
  </si>
  <si>
    <t>3783-9582</t>
  </si>
  <si>
    <t>MARIANE PEREIRA</t>
  </si>
  <si>
    <t xml:space="preserve">REFLEXALLEN DO BRASIL AUTOMOTIVA LTDA. </t>
  </si>
  <si>
    <t>12.162.127/0001-96</t>
  </si>
  <si>
    <t>4810-0970</t>
  </si>
  <si>
    <t>CAIO SALES</t>
  </si>
  <si>
    <t>REFREX BRASIL INDUSTRIA E COMERCIO LTDA</t>
  </si>
  <si>
    <t xml:space="preserve">48.345.706/0001-11 </t>
  </si>
  <si>
    <t xml:space="preserve">4719-9999  </t>
  </si>
  <si>
    <t>GIANE TRINDADE</t>
  </si>
  <si>
    <t>REPUME REPUXACAO E METALURGICA LTDA</t>
  </si>
  <si>
    <t>Taboão da Serra</t>
  </si>
  <si>
    <t>52.163.033.0001.60</t>
  </si>
  <si>
    <t>4139-6655</t>
  </si>
  <si>
    <t>WELLINGTON RIOS</t>
  </si>
  <si>
    <t>RGR PNEMÁTICOS</t>
  </si>
  <si>
    <t>Aruja</t>
  </si>
  <si>
    <t>59.233.098/0001-70</t>
  </si>
  <si>
    <t>4654-3008</t>
  </si>
  <si>
    <t>SAINT- GOBAIN  - SEKURIT</t>
  </si>
  <si>
    <t>61.064.838/0089-75</t>
  </si>
  <si>
    <t>11-4516-9910</t>
  </si>
  <si>
    <t>MARCIO</t>
  </si>
  <si>
    <t>SAINT-GOBAIN DO BRASIL PRODUTOS INDUSTRIAIS E PARA CONSTRUÇA</t>
  </si>
  <si>
    <t>61.064.838/0146-06</t>
  </si>
  <si>
    <t>8167-2813</t>
  </si>
  <si>
    <t>RAPHAEL RIOS</t>
  </si>
  <si>
    <t>SAINT-GOBAIN PLÁSTICOS</t>
  </si>
  <si>
    <t>43.037.720/0001-34</t>
  </si>
  <si>
    <t>2575-8668</t>
  </si>
  <si>
    <t>ROBSON DE ALENCAR SCHRAM</t>
  </si>
  <si>
    <t>SAINT-GOBAIN SÃO CAETANO DO SUL</t>
  </si>
  <si>
    <t>61.064.838/0091-90</t>
  </si>
  <si>
    <t xml:space="preserve">3434-9443 </t>
  </si>
  <si>
    <t>JOSÉ LUIZ POSSIDÔNIO</t>
  </si>
  <si>
    <t xml:space="preserve">SAKURA TECH BRASIL </t>
  </si>
  <si>
    <t>132334680001-78</t>
  </si>
  <si>
    <t>4024-2880</t>
  </si>
  <si>
    <t xml:space="preserve">LUCAS CARVALHO </t>
  </si>
  <si>
    <t xml:space="preserve">SALCOMP </t>
  </si>
  <si>
    <t>07.637.620/0001-85</t>
  </si>
  <si>
    <t>(92) 2127-2600</t>
  </si>
  <si>
    <t>SALVI ELETRO FITTINGS MATERIAIS</t>
  </si>
  <si>
    <t>65.799.330/0001.34</t>
  </si>
  <si>
    <t>4161-6649</t>
  </si>
  <si>
    <t>CÉSAR CÂMARA</t>
  </si>
  <si>
    <t xml:space="preserve">SAMSUNG ELETRONICA </t>
  </si>
  <si>
    <t>00280273002261</t>
  </si>
  <si>
    <t xml:space="preserve">19 3348-0206        </t>
  </si>
  <si>
    <t xml:space="preserve">LUIZ PAULO DE OLIVEIRA </t>
  </si>
  <si>
    <t xml:space="preserve">SANOFI-AVENTIS </t>
  </si>
  <si>
    <t>02.685.377.0008-23</t>
  </si>
  <si>
    <t>(11) 4745-1561</t>
  </si>
  <si>
    <t>SANTHER FABRICA DE PAPEL SANTA THEREZINHA S/A</t>
  </si>
  <si>
    <t>Bragança Paulista</t>
  </si>
  <si>
    <t>61.101.895/0004-98</t>
  </si>
  <si>
    <t>(11) 2142-7886</t>
  </si>
  <si>
    <t>SAVOY INDUSTRIA DE COSMETICOS S.A</t>
  </si>
  <si>
    <t>Senador Canedo</t>
  </si>
  <si>
    <t>15.392.876/0003-60</t>
  </si>
  <si>
    <t>3878-8150</t>
  </si>
  <si>
    <t>SCANIA</t>
  </si>
  <si>
    <t>59.104.901/0001-76</t>
  </si>
  <si>
    <t>4344-9333</t>
  </si>
  <si>
    <t>CHANTAL</t>
  </si>
  <si>
    <t>SEAL LACRES INDUSTRIA E COMERCIO DE LACRES LTDA</t>
  </si>
  <si>
    <t>Pindamonhangaba</t>
  </si>
  <si>
    <t>06.215.096/0001-91</t>
  </si>
  <si>
    <t>3645-8867</t>
  </si>
  <si>
    <t>WESLEY VIEIRA</t>
  </si>
  <si>
    <t>SENAI - MG</t>
  </si>
  <si>
    <t>Belo Horizonte</t>
  </si>
  <si>
    <t>03.773.700.0001/70</t>
  </si>
  <si>
    <t>3263-4816</t>
  </si>
  <si>
    <t>ILÍDIO RODRIGUES DE OLIVEIRA</t>
  </si>
  <si>
    <t xml:space="preserve">SILBEYER EMBALAGENS </t>
  </si>
  <si>
    <t>Embu-Guaçu</t>
  </si>
  <si>
    <t>66.783.978/0001-85</t>
  </si>
  <si>
    <t>4661-3191</t>
  </si>
  <si>
    <t>SILGAN DISPENSING SYSTEMS AND PAC</t>
  </si>
  <si>
    <t>60.760.642/0004-63</t>
  </si>
  <si>
    <t>(11) 4723 4700</t>
  </si>
  <si>
    <t>SIMBIOSE INDUSTRIA E COMÉRCIO DE FERTILIZANTES E INSUMOS MIC</t>
  </si>
  <si>
    <t>Fazenda Rio Grande</t>
  </si>
  <si>
    <t>08.879.643/0002-40</t>
  </si>
  <si>
    <t>JOSE GUIMARAES</t>
  </si>
  <si>
    <t>SIMOLDES PLASTICOS INDUSTRIA LIMITADA</t>
  </si>
  <si>
    <t>01.214.052/0002-04</t>
  </si>
  <si>
    <t>FAGNER RODRIGUES DE ALMEIDA</t>
  </si>
  <si>
    <t>SIN  SISTEMA DE IMPLANTE</t>
  </si>
  <si>
    <t>04.298.106/0001-74</t>
  </si>
  <si>
    <t>ALBERTO SILVA</t>
  </si>
  <si>
    <t>SKF DO BRASIL LTDA</t>
  </si>
  <si>
    <t>61.077.327/0001-56</t>
  </si>
  <si>
    <t>4448-8200</t>
  </si>
  <si>
    <t>SLOTTER INDÚSTRIA DE EMBALAGENS LTDA</t>
  </si>
  <si>
    <t>61.170.114/0001-74</t>
  </si>
  <si>
    <t xml:space="preserve">SMARTPACK INDUSTRIA GRAFICA LTDA </t>
  </si>
  <si>
    <t>23.829.117/0001-88</t>
  </si>
  <si>
    <t>2605-9446</t>
  </si>
  <si>
    <t xml:space="preserve">VILSON MARTINS ALBERTO QUÉRCIA </t>
  </si>
  <si>
    <t>SONOCO DO BRASIL</t>
  </si>
  <si>
    <t>Simões Filho</t>
  </si>
  <si>
    <t>00.496.586/0012-80</t>
  </si>
  <si>
    <t>(071) 3941-183 / (07</t>
  </si>
  <si>
    <t>SONOCO DO BRASIL LTDA</t>
  </si>
  <si>
    <t>00.496.586/0016-03</t>
  </si>
  <si>
    <t>97159-0334</t>
  </si>
  <si>
    <t xml:space="preserve">DARLAN TRINDADE </t>
  </si>
  <si>
    <t>SPECIAL DOG</t>
  </si>
  <si>
    <t>56.813.280/0002-92</t>
  </si>
  <si>
    <t>3332-3000</t>
  </si>
  <si>
    <t>OCTÁVIO SOBERÁN</t>
  </si>
  <si>
    <t>SPRAYING SYSTEMS DO BRASIL LTDA</t>
  </si>
  <si>
    <t>52.462.215/0001-28</t>
  </si>
  <si>
    <t>(11) 2124-9525</t>
  </si>
  <si>
    <t>SPUMAPAC - INDUSTRIAL E DISTRIBUIDORA DE ARTEFATOS PLÁSTICOS</t>
  </si>
  <si>
    <t>Jundiaí</t>
  </si>
  <si>
    <t>04.861.729/0002-94</t>
  </si>
  <si>
    <t>4589-7786</t>
  </si>
  <si>
    <t>AGHATA BOTELHO</t>
  </si>
  <si>
    <t xml:space="preserve">STANLEY ENGINEERED FASTENING </t>
  </si>
  <si>
    <t>58357278000109</t>
  </si>
  <si>
    <t>STANLEY ENGINR JUNDIAI</t>
  </si>
  <si>
    <t>58.357.278/0002-81</t>
  </si>
  <si>
    <t>3871-6460</t>
  </si>
  <si>
    <t>PAULO  SERGIO  MAROSTICA</t>
  </si>
  <si>
    <t xml:space="preserve">STIHL </t>
  </si>
  <si>
    <t>87.235.172/0001-22</t>
  </si>
  <si>
    <t>3579-9999</t>
  </si>
  <si>
    <t>FRANCIS LINHARES ROCHA</t>
  </si>
  <si>
    <t>SUMITOMO RIKO GROUP</t>
  </si>
  <si>
    <t>Juatuba</t>
  </si>
  <si>
    <t>60.689.346/0001-70</t>
  </si>
  <si>
    <t>3539-8839</t>
  </si>
  <si>
    <t>LEANDRO JOSÉ SANTOS DA FONSECA</t>
  </si>
  <si>
    <t>SUPER METAL LTDA</t>
  </si>
  <si>
    <t>Governador Valadares</t>
  </si>
  <si>
    <t>86.592.748/0001-46</t>
  </si>
  <si>
    <t>32126400</t>
  </si>
  <si>
    <t>SUPERGASBRAS ENERGIA LTDA.</t>
  </si>
  <si>
    <t>19.791.896/0001-00</t>
  </si>
  <si>
    <t xml:space="preserve">SUPERSTAMP </t>
  </si>
  <si>
    <t>Araucária</t>
  </si>
  <si>
    <t>02.609.661/0001-44</t>
  </si>
  <si>
    <t>3643-1156</t>
  </si>
  <si>
    <t>ROSEMIRO LOPES</t>
  </si>
  <si>
    <t>TAURUS ARMAS S.A</t>
  </si>
  <si>
    <t>92781335000102</t>
  </si>
  <si>
    <t>TE CONNECTIVITY BRASIL</t>
  </si>
  <si>
    <t>00.907.845/0015-60</t>
  </si>
  <si>
    <t>(11) 3404-6076/ (11)</t>
  </si>
  <si>
    <t>TE CONNECTIVITY BRASIL ( FILIAL )</t>
  </si>
  <si>
    <t>00.907.845/0012-18</t>
  </si>
  <si>
    <t>(11) 3404-6076 / (11</t>
  </si>
  <si>
    <t>00.907.845/0001-65</t>
  </si>
  <si>
    <t>(11) 3404-6164</t>
  </si>
  <si>
    <t>00.907.845/0016-41</t>
  </si>
  <si>
    <t>(11) 3404-6000 / (11</t>
  </si>
  <si>
    <t>TECFIL</t>
  </si>
  <si>
    <t>04.155.026/0001-60</t>
  </si>
  <si>
    <t>2145-5883</t>
  </si>
  <si>
    <t>LUCIANO SOUZA</t>
  </si>
  <si>
    <t>TECFIL 2</t>
  </si>
  <si>
    <t>04.155.026/0003-21</t>
  </si>
  <si>
    <t>2145-5850</t>
  </si>
  <si>
    <t xml:space="preserve">DENIRVAL DOS SANTOS </t>
  </si>
  <si>
    <t>TECHNOS</t>
  </si>
  <si>
    <t>04.628.426/0001-45</t>
  </si>
  <si>
    <t>2126-8950</t>
  </si>
  <si>
    <t>ALAN OGINO</t>
  </si>
  <si>
    <t xml:space="preserve">TESSIN INDUSTRIA E COMERCIO LTDA </t>
  </si>
  <si>
    <t>44.412.435/0001-19</t>
  </si>
  <si>
    <t>4748-3922 r:119</t>
  </si>
  <si>
    <t>ERASMO MASSARU OKAMOTO</t>
  </si>
  <si>
    <t>THE HARRIS PRODUCTS GROUP</t>
  </si>
  <si>
    <t>53.910.899/0010-37</t>
  </si>
  <si>
    <t>4993-8111</t>
  </si>
  <si>
    <t>THERMAL MANAGEMENT SOLUTIONS BRAZIL LTDA</t>
  </si>
  <si>
    <t xml:space="preserve">46.242.558/0001-84 </t>
  </si>
  <si>
    <t>RICARDO BERTOCHI FIGUEIREDO</t>
  </si>
  <si>
    <t>THYSSENKRUPP MULTI TRACKS</t>
  </si>
  <si>
    <t>47.366.273/0008-94</t>
  </si>
  <si>
    <t>+55 11 2332 2447</t>
  </si>
  <si>
    <t>ROBERTO RONCHI</t>
  </si>
  <si>
    <t>TIBERINA AUTOMOTIVE</t>
  </si>
  <si>
    <t>11.812.870/0002-62</t>
  </si>
  <si>
    <t>3519-5400</t>
  </si>
  <si>
    <t>EDUARDO CARVALHO</t>
  </si>
  <si>
    <t>TIGRE - RIO CLARO</t>
  </si>
  <si>
    <t>84.684.455/0071-76</t>
  </si>
  <si>
    <t>(19) 2112-9600</t>
  </si>
  <si>
    <t>CELSO DOMINGUES</t>
  </si>
  <si>
    <t xml:space="preserve">TIGRE MATERIAS E SOLUÇOES PARA CONSTRUÇÃOLTDA </t>
  </si>
  <si>
    <t>08.862.530/0007.46</t>
  </si>
  <si>
    <t>99934-1945</t>
  </si>
  <si>
    <t>GEISON SILVEIRA</t>
  </si>
  <si>
    <t>TITANIUMFIX</t>
  </si>
  <si>
    <t>São Jose dos Campos</t>
  </si>
  <si>
    <t>01.786.547/0001-27</t>
  </si>
  <si>
    <t xml:space="preserve">TOWER AUTOMOTIVE DO BRASIL </t>
  </si>
  <si>
    <t>61.142.287/0001-89</t>
  </si>
  <si>
    <t>4654-7538</t>
  </si>
  <si>
    <t>JUNIOR JORDÃO</t>
  </si>
  <si>
    <t xml:space="preserve">TRAMONTINA SA CUTELARIA </t>
  </si>
  <si>
    <t>Carlos Barbosa</t>
  </si>
  <si>
    <t>90.050.238/0001-14</t>
  </si>
  <si>
    <t>54-3461-8400</t>
  </si>
  <si>
    <t>ANDRE GALLANT</t>
  </si>
  <si>
    <t xml:space="preserve">TRES CORACOES </t>
  </si>
  <si>
    <t>Eusebio</t>
  </si>
  <si>
    <t>63.310.411/0001-01</t>
  </si>
  <si>
    <t>(85) 4006-5500</t>
  </si>
  <si>
    <t>TREVISAN ARTEFATOS PLASTICOS</t>
  </si>
  <si>
    <t>37.077.933/0001-97</t>
  </si>
  <si>
    <t>(31) 2564-7117</t>
  </si>
  <si>
    <t>TRIK TRIK</t>
  </si>
  <si>
    <t>03.596.994/0001-49</t>
  </si>
  <si>
    <t xml:space="preserve">2436-2999  </t>
  </si>
  <si>
    <t>EDUARDO FERREIRA P.</t>
  </si>
  <si>
    <t xml:space="preserve">TROMBINI </t>
  </si>
  <si>
    <t>11.252.642/0010-95</t>
  </si>
  <si>
    <t>(41) 2169-1100</t>
  </si>
  <si>
    <t>TUPY S/A</t>
  </si>
  <si>
    <t>84.683.374/0003-00</t>
  </si>
  <si>
    <t>4009-8564</t>
  </si>
  <si>
    <t xml:space="preserve">VANESA ALVES DA SILVA </t>
  </si>
  <si>
    <t>UMICORE</t>
  </si>
  <si>
    <t>96206313/0006-84</t>
  </si>
  <si>
    <t>(11) 2421-1308</t>
  </si>
  <si>
    <t>UNILEVER - KIBON</t>
  </si>
  <si>
    <t>Valinhos</t>
  </si>
  <si>
    <t>11.806.723/0006-03</t>
  </si>
  <si>
    <t>(19) 3345-9526</t>
  </si>
  <si>
    <t xml:space="preserve">CLEBER SILVA SANTOS </t>
  </si>
  <si>
    <t>UNILEVER BRASIL IND. LTDA</t>
  </si>
  <si>
    <t>01.615.814/0028-13</t>
  </si>
  <si>
    <t>997450471</t>
  </si>
  <si>
    <t>UNILEVER BRASIL INDUSTRIAL LTDA</t>
  </si>
  <si>
    <t>Aguai</t>
  </si>
  <si>
    <t>01615814009230</t>
  </si>
  <si>
    <t>UNIMIL INDUSTRIA E COMERCIO DE PECAS DE MAQUINAS AGRICOLAS L</t>
  </si>
  <si>
    <t>03.350.300/0001-99</t>
  </si>
  <si>
    <t>2105-0800</t>
  </si>
  <si>
    <t>VALEO - POWERTRAIN SYSTEMS BUSINESS GROUP - CAMPINAS SITE</t>
  </si>
  <si>
    <t>54.010.662/0015-65</t>
  </si>
  <si>
    <t>3322-3484</t>
  </si>
  <si>
    <t>VINICIUS MENDES</t>
  </si>
  <si>
    <t>VALEO LIGHTING SYSTEMS</t>
  </si>
  <si>
    <t>57.010.662/0009-17</t>
  </si>
  <si>
    <t xml:space="preserve">5613-1311  </t>
  </si>
  <si>
    <t>ALISSON JOSÉ DE AMORIM</t>
  </si>
  <si>
    <t>VALID UNIDADE BARUERI</t>
  </si>
  <si>
    <t>33.113.309/0014.61</t>
  </si>
  <si>
    <t>(11) 4772 7884</t>
  </si>
  <si>
    <t>FERNANDO SOUZA</t>
  </si>
  <si>
    <t>VARROC LIGHTING SYSTEMS S. DE R.L.DE CV</t>
  </si>
  <si>
    <t>13.384.641/0001-39</t>
  </si>
  <si>
    <t>1 (81) 83692378</t>
  </si>
  <si>
    <t>PABLO SÁNCHEZ ZAMARRIPA</t>
  </si>
  <si>
    <t>VERTCO BLINDAGEM INDÚSTRIA E COMÉRCIO LTDA</t>
  </si>
  <si>
    <t>08.220.784/0001-75</t>
  </si>
  <si>
    <t>4792-5155</t>
  </si>
  <si>
    <t>ADRIANA</t>
  </si>
  <si>
    <t>VESUVIUS REFRATARIOS LTDA</t>
  </si>
  <si>
    <t>30.511.844/0001-68</t>
  </si>
  <si>
    <t>VESUVIUS SENSORS &amp; PROBES DO BRASIL</t>
  </si>
  <si>
    <t>Piedade</t>
  </si>
  <si>
    <t>30.511.844/0009-15</t>
  </si>
  <si>
    <t>(11) 3719-9833</t>
  </si>
  <si>
    <t>VIBRACOUSTIC SOUTH AMERICA LTDA</t>
  </si>
  <si>
    <t>Taubaté</t>
  </si>
  <si>
    <t>03.249.921/0005-04</t>
  </si>
  <si>
    <t>(12) 3601-2100</t>
  </si>
  <si>
    <t>VIKA INDUSTRIA DE AUTO PEÇAS E COMERCIO LTDA</t>
  </si>
  <si>
    <t>30.701.191/0001-80</t>
  </si>
  <si>
    <t>4028-9987</t>
  </si>
  <si>
    <t>VISCOFAN DO BRASIL SOCIEDADE COMERCIAL E INDUSTRIA LTDA</t>
  </si>
  <si>
    <t>65.019.655/0002-38</t>
  </si>
  <si>
    <t>4025-6925</t>
  </si>
  <si>
    <t>LUCIANO GUSTAVO MAROSI</t>
  </si>
  <si>
    <t>VITESCO TECNOLOGIA BRASIL AUTOMOTIVA LTDA.</t>
  </si>
  <si>
    <t xml:space="preserve">31.600.044/0001-86 </t>
  </si>
  <si>
    <t>2423 7575</t>
  </si>
  <si>
    <t xml:space="preserve">HELIO COSTA </t>
  </si>
  <si>
    <t>WAP METAL</t>
  </si>
  <si>
    <t>60.601.309/0001-69</t>
  </si>
  <si>
    <t>4789-8969</t>
  </si>
  <si>
    <t>EDSON FLORENTINO</t>
  </si>
  <si>
    <t>WEBER - MOGI</t>
  </si>
  <si>
    <t>61064838/0140-02</t>
  </si>
  <si>
    <t>(11) 2196-8117</t>
  </si>
  <si>
    <t>ANDRE GALLUCCI</t>
  </si>
  <si>
    <t>WEBER QUARTZOLIT</t>
  </si>
  <si>
    <t>Abreu e Lima</t>
  </si>
  <si>
    <t>61.064.838/0035-82</t>
  </si>
  <si>
    <t>PEDRO ROCHA</t>
  </si>
  <si>
    <t>WEG DRIVES &amp; CONTROLS - AUTOMACAO LTDA</t>
  </si>
  <si>
    <t>Jaraguá do Sul</t>
  </si>
  <si>
    <t>14.309.992/0001-48</t>
  </si>
  <si>
    <t xml:space="preserve">WHEATON BRASIL </t>
  </si>
  <si>
    <t>60.750.056/0001-95</t>
  </si>
  <si>
    <t>(11) 4355-1800</t>
  </si>
  <si>
    <t>GABRIEL</t>
  </si>
  <si>
    <t>WHIRLPOOL S.A.</t>
  </si>
  <si>
    <t>59.105.999/0003-48</t>
  </si>
  <si>
    <t>2111-9120</t>
  </si>
  <si>
    <t xml:space="preserve">HENRIQUE NOGUEIRA </t>
  </si>
  <si>
    <t>XEROX</t>
  </si>
  <si>
    <t>02.773.629.0004-42</t>
  </si>
  <si>
    <t>71 4009-2317</t>
  </si>
  <si>
    <t xml:space="preserve">LUCIANO BATISTA </t>
  </si>
  <si>
    <t xml:space="preserve">ZF - SBC </t>
  </si>
  <si>
    <t>SAO BERNARDO DO CAMPO</t>
  </si>
  <si>
    <t>59.280.685/0002-09</t>
  </si>
  <si>
    <t>3343-3096</t>
  </si>
  <si>
    <t>JOÃO SERAFIM</t>
  </si>
  <si>
    <t>ZF AUTOMOTIVE BRASIL LTDA (SÃO BERNADO -SP)</t>
  </si>
  <si>
    <t>60.857.349.0024/62</t>
  </si>
  <si>
    <t>ZF CV SYSTEMS BRASIL LTDA</t>
  </si>
  <si>
    <t>SUMARE</t>
  </si>
  <si>
    <t>60857349/0029-77</t>
  </si>
  <si>
    <t>2117 4776</t>
  </si>
  <si>
    <t>LUIZ MARTINS</t>
  </si>
  <si>
    <t>ZF DO BRASIL</t>
  </si>
  <si>
    <t>SOROCABA</t>
  </si>
  <si>
    <t>59.280.685/0001-10</t>
  </si>
  <si>
    <t>4009-7059</t>
  </si>
  <si>
    <t>SIDINEI AMORIM</t>
  </si>
  <si>
    <t>ZODIAC</t>
  </si>
  <si>
    <t>PINDAMONHANGABA</t>
  </si>
  <si>
    <t>55.980.684.0001/27</t>
  </si>
  <si>
    <t>5501-5513</t>
  </si>
  <si>
    <t>JULIANA LIRA PEREIRA</t>
  </si>
  <si>
    <t>Nome do Concorrente</t>
  </si>
  <si>
    <t>UF</t>
  </si>
  <si>
    <t>Quant. De Filiais</t>
  </si>
  <si>
    <t xml:space="preserve">Nr de Funcionário </t>
  </si>
  <si>
    <t>Fundação</t>
  </si>
  <si>
    <t xml:space="preserve">Portfólio </t>
  </si>
  <si>
    <t>Principais Clientes</t>
  </si>
  <si>
    <t>Principais Parceiros</t>
  </si>
  <si>
    <t>07.982.871/0001-05</t>
  </si>
  <si>
    <t>Aston Automacao Industrial Ltda</t>
  </si>
  <si>
    <t>Canoas</t>
  </si>
  <si>
    <t>1 a 10</t>
  </si>
  <si>
    <t>N/A</t>
  </si>
  <si>
    <t>Sem site e redes sociais</t>
  </si>
  <si>
    <t>13.135.000/0001-40</t>
  </si>
  <si>
    <t>2b Automacao e Usinagem Ltda</t>
  </si>
  <si>
    <t xml:space="preserve">SP </t>
  </si>
  <si>
    <t>11 a 50</t>
  </si>
  <si>
    <t>Fabricação de mesas router (plate router), pallets wave/reflow, dispositivos de montagem, prensas automáticas, gabaritos de solda e berços de poliacetal.</t>
  </si>
  <si>
    <t>atua no desenvolvimento e fabricação de máquinas e dispositivos automatizados voltados para os setores eletrônico, telefônico e automobilístico. A empresa combina know-how técnico com foco em qualidade, tecnologia e segurança, oferecendo usinagem de precisão, ferramentaria e soluções completas em automação industrial</t>
  </si>
  <si>
    <t>05.201.096/0001-70</t>
  </si>
  <si>
    <t>Af Braco Automacao Industrial Ltda</t>
  </si>
  <si>
    <t>Máquinas automatizadas, sistemas de manufatura e dispositivos de precisão.</t>
  </si>
  <si>
    <t>Atua no desenvolvimento, fabricação e fornecimento de soluções de automação industrial integradas com a usinagem e montagem de equipamentos para linha de produção</t>
  </si>
  <si>
    <t>09.212.008/0001-96</t>
  </si>
  <si>
    <t>Agv Robotica e Servicos Industriais Ltda</t>
  </si>
  <si>
    <t>Jacareí</t>
  </si>
  <si>
    <t xml:space="preserve">11 a 50 </t>
  </si>
  <si>
    <t>Células robóticas, gabaritos e dispositivos de fixação, até sistemas de montagem automática, manutenção de equipamentos industriais e retrofit de máquinas</t>
  </si>
  <si>
    <t>Tetra Pak; GM; Johnson &amp; Johnson; Dell;</t>
  </si>
  <si>
    <t>Kuka Partners; Virtek Vision</t>
  </si>
  <si>
    <t>Atua no desenvolvimento e fornecimento de soluções customizadas de automação industrial, integrando robótica, usinagem de precisão e montagem de sistemas para linhas de produção; Tem projetos na China, México e EUA.</t>
  </si>
  <si>
    <t>00.425.565/0001-10</t>
  </si>
  <si>
    <t>Allware-Sistemas de Automacao Ltda</t>
  </si>
  <si>
    <t>Linhas de montagem, Máquinas especiais, Perfil de alumínio estrutural, Bancadas, alimentadores, proteções de máquinas, esteiras, Projeto e construção de maquinas especiais de montagem, Teste de estanqueidade, Teste, solda hot plate, solda placa quente, solda rotacional, solda infrared, solda infra vermelho, solda ultra som, Inserção de inserto a quente, inserção de inserto a frio, perfil aluminio, linha de montagem, maquina especial, bancada e proteção</t>
  </si>
  <si>
    <t>Faber-Castell; Electrolux; GM; Volkswage; Stellantis; Whirpool;</t>
  </si>
  <si>
    <t xml:space="preserve">Filiar de Cajamar-SP Baixada em 2018; </t>
  </si>
  <si>
    <t>15.427.915/0001-55</t>
  </si>
  <si>
    <t xml:space="preserve">Antares TI Ltda. </t>
  </si>
  <si>
    <t>Especializada em três áreas principais: automação de processos, desenvolvimento de software industrial (como MES e SCADA) e sistemas de visão artificial e robótica.</t>
  </si>
  <si>
    <t xml:space="preserve">Danone; Usiminas; ArcelorMittal; Electrolux; Gerdau; </t>
  </si>
  <si>
    <t>Integrador Schneider; Festo Kuka, Siemens; Asteras</t>
  </si>
  <si>
    <t>Unidades na Argentina, México e EUA</t>
  </si>
  <si>
    <t>17.716.494/0001-08</t>
  </si>
  <si>
    <t>Grupo As2 Solucoes Industriais Ltda</t>
  </si>
  <si>
    <t>51 a 200</t>
  </si>
  <si>
    <t>A AS2 Group oferece soluções de automação de máquinas e equipamentos, controle de processos, monitoramento e controle de energia, transporte e movimentação de materiais, rastreabilidade e identificação de produção, além de integração de sistemas de chão‑de‑fábrica com TI corporativa.</t>
  </si>
  <si>
    <t>Johnson &amp; Johnson; Zodiac; Janssen; Faber-Castell; Foxconn; Vale; etc</t>
  </si>
  <si>
    <t>09.078.894/0001-07</t>
  </si>
  <si>
    <t>Aumaqrs Ltda</t>
  </si>
  <si>
    <t>Automação Industrial, Máquinas Especiais, Equipamentos, Linhas de Montagem, Sistemas de Parafusamento Automático, Processos de Usinagem de Peças, Alimentadores e Manipuladores, Sistemas de Manipulação e Visão com Robô, Alimentadores Vibratórios, Parafusadeiras Automáticas, Rosqueadeiras, Rebitadeiras, Unidades de Furação, Unidades de Rosqueamento, Contagem de peças, Embalagem, Contagem de Kits e Embalagem de kits</t>
  </si>
  <si>
    <t xml:space="preserve">Stara; Amplicabos; Weg; Tramontina; Astra; Usual Brinquedos; Dana; Faurecia; Marelli;  </t>
  </si>
  <si>
    <t>AUTECRS</t>
  </si>
  <si>
    <t xml:space="preserve">10.418.486/0001-36 </t>
  </si>
  <si>
    <t>Autentica Tecnologia Ltda</t>
  </si>
  <si>
    <t>Células robotizadas, máquinas especiais customizadas (por exemplo para amassamento, parafusamento, soldagem, rebitagem) e integração de robôs convencionais ou colaborativos.</t>
  </si>
  <si>
    <t>Aethra; Magna; Marelli; Scania</t>
  </si>
  <si>
    <t xml:space="preserve">Kyence; Kuka; Omron; Siemens; SMC; </t>
  </si>
  <si>
    <t>10.799.810/0001-03</t>
  </si>
  <si>
    <t>Automec Manutencao e Automacao Industrial Ltda</t>
  </si>
  <si>
    <t>O portfólio da Automec está mais voltado a ferramentas, manipulação, componentes auxiliares e manutenção industrial do que desenvolvimento de linhas completas de automação ou montagem de células robóticas.</t>
  </si>
  <si>
    <t>10.285.386/0001-89</t>
  </si>
  <si>
    <t>B &amp; S Automacao e Projeto Ltda</t>
  </si>
  <si>
    <t>Automação de embalagens, intralogística, robótica industrial</t>
  </si>
  <si>
    <t xml:space="preserve">Avon; Colgate; Electrolux; J. Macêdo; Jhonson &amp; Jhonson; M Dias Branco; Lear; LG; Nestlé;  Pepsico; Sanofi; Unilever; Ypê; </t>
  </si>
  <si>
    <t xml:space="preserve"> FESTO FTP;
Omron; UR; Cisco/Rockwell;</t>
  </si>
  <si>
    <t>A B&amp;S é uma empresa do Grupo Teagá</t>
  </si>
  <si>
    <t>72.908.817/0001-73</t>
  </si>
  <si>
    <t>Bosch Rexroth Ltda</t>
  </si>
  <si>
    <t>501 a 1000</t>
  </si>
  <si>
    <t>Oferece soluções de automação industrial, controle de movimento, sistemas hidráulicos, elétricos e de acionamento, bem como integração para fábricas inteligentes.</t>
  </si>
  <si>
    <t>59.905.042/0001-14</t>
  </si>
  <si>
    <t>Cbd Mecanica Industrial Ltda</t>
  </si>
  <si>
    <t>11a 50</t>
  </si>
  <si>
    <t xml:space="preserve"> Engenharia, projeto, usinagem, programação e montagem e comissionamento de vários projetos. </t>
  </si>
  <si>
    <t xml:space="preserve">GM; NGK; </t>
  </si>
  <si>
    <t xml:space="preserve">Komatsu NTC; Mitsubishi; Hitata </t>
  </si>
  <si>
    <t>Para revenda e assistencia tecnica: SUS Corporation; IAI Corporation; Nachi</t>
  </si>
  <si>
    <t xml:space="preserve">07.568.340/0001-62 </t>
  </si>
  <si>
    <t>Cemas do Brasil, Industria de Maquinas para Uso Industrial Ltda</t>
  </si>
  <si>
    <t>Soluções industriais customizadas em soldagem, furação e colagem de peças plásticas, com foco em aplicações críticas como painéis de instrumentos, coletores de admissão, lanternas e filtros de combustível.</t>
  </si>
  <si>
    <t>11.243.498/0001-30</t>
  </si>
  <si>
    <t>D2eng - Automacao, Comercio e Servicos Ltda</t>
  </si>
  <si>
    <t>2 a 10</t>
  </si>
  <si>
    <t>Consultoria em engenharia e automação; Desenvolvimento e integração de células robotizadas; Projetos customizados de automação industrial; Simulações, dimensionamentos e análises de investimento; Retrofit de máquinas e sistemas; Suporte técnico e manutenção pós-projeto</t>
  </si>
  <si>
    <t xml:space="preserve">Maxion; Bentler; Sanof; Tetra Pak; Ultragás; Sadia; Reckitt; Nestlé; Natura; Mondelez; Mahle; Garoto; Baxter; </t>
  </si>
  <si>
    <t>Omron; Flexlink; Kuka; Festo; Cognex;</t>
  </si>
  <si>
    <t>09.245.767/0001-55</t>
  </si>
  <si>
    <t>Azeria Comercio de Maquinas Ltda</t>
  </si>
  <si>
    <t>Desenvolvimento e fabricação de máquinas e equipamentos industriais voltados à movimentação, transporte, elevação e montagem de materiais. Seu portfólio inclui mesas elevatórias, posicionadoras, esteiras transportadoras, elevadores industriais, carros de transferência e soluções sob medida para linhas de produção. Atende projetos personalizados, com foco em produtividade, segurança (NR10, NR12) e conformidade técnica, oferecendo também serviços completos de engenharia, fabricação, montagem e assistência técnica.</t>
  </si>
  <si>
    <t xml:space="preserve">Aurora; Boticário; Tam; Volvo; Gestamp; EMS; </t>
  </si>
  <si>
    <t>ABB; Serapid; Airfloat</t>
  </si>
  <si>
    <t>53.630.901/0001-23</t>
  </si>
  <si>
    <t>Equitron Automacao Eletronico Mecanica Ltda</t>
  </si>
  <si>
    <t>Linhas de Montagem, Células Robotizadas, Equipamentos Especiais para Soldagem, Workstation, Soluções Customizadas e Serviços Especiais de Usinagem</t>
  </si>
  <si>
    <t>Faber-Castell; Marelli; ZF; Magna; Dana; Gestamp; Wabco</t>
  </si>
  <si>
    <t>07.647.484/0001-04</t>
  </si>
  <si>
    <t>Flowtrack Industria e Comercio de Equipamentos para Automacao Industrial Ltda</t>
  </si>
  <si>
    <t>Linhas de montagem, transportadores, células robotizadas e dispositivos de teste e inspeção</t>
  </si>
  <si>
    <t>Natura; Lorenzetti; ZF; Continental</t>
  </si>
  <si>
    <t xml:space="preserve">Omron; Festo; Kyence; </t>
  </si>
  <si>
    <t>Atuação nos segmentos eletroeletrônico, automotivo, cosmético, farmacêutico e alimentício, tanto no Brasil quanto internacionalmente (EUA, México, Argentina, Paraguai, Bolívia, Equador).</t>
  </si>
  <si>
    <t>07.700.695/0001-63</t>
  </si>
  <si>
    <t>Fusimaq Automacao e Ferramentaria Ltda</t>
  </si>
  <si>
    <t>Atua na integração de células robotizadas, adequações às normas de segurança como a NR-12 e projetos completos desde a engenharia até a entrega final</t>
  </si>
  <si>
    <t>Continental; Brascabos;  Joyson; Kautex; Lorenzetti; Pirelli; Marelli; TI Automotive;</t>
  </si>
  <si>
    <t>10.643.007/0001-85</t>
  </si>
  <si>
    <t>Gen Industria e Comercio de Equipamentos para Automacao Industrial Ltda.</t>
  </si>
  <si>
    <t>Santo André</t>
  </si>
  <si>
    <t>Abrangem desde prensas hidro‑pneumáticas, esteiras transportadoras e linhas de montagem até sistemas com rastreabilidade, instrução digital de montagem e inspeção por visão</t>
  </si>
  <si>
    <t>11.622.310/0001-64</t>
  </si>
  <si>
    <t xml:space="preserve"> H.l. Equipamentos Industriais Ltda</t>
  </si>
  <si>
    <t>Elias Fausto</t>
  </si>
  <si>
    <t>fabricação de máquinas e equipamentos especiais voltados à montagem, inspeção e automação de processos industriais, com foco nos setores cosmético, farmacêutico, alimentício e automotivo. Seu portfólio inclui sistemas de alimentação, montagem de tampas e válvulas, inspeção visual e funcional, além de soluções customizadas</t>
  </si>
  <si>
    <t>Estrutura fabril própria (~2000m²)</t>
  </si>
  <si>
    <t xml:space="preserve">05.883.246/0001-72 </t>
  </si>
  <si>
    <t>Ivision Sistemas de Imagem e Visao S.a.</t>
  </si>
  <si>
    <t>Desenvolvimento e implantação de soluções avançadas de monitoramento, inspeção e controle de qualidade industrial, com forte componente de tecnologia de visão computacional, machine‑learning e robótica.</t>
  </si>
  <si>
    <t>Nvidia; Kuka</t>
  </si>
  <si>
    <t>04.179.041/0001-48</t>
  </si>
  <si>
    <t>Luma Eletromecanica LTDA</t>
  </si>
  <si>
    <t>Desenvolvimento de soluções de automação industrial personalizadas, oferecendo projetos que abrangem desde máquinas e dispositivos especiais até sistemas de integração completa para processos produtivos</t>
  </si>
  <si>
    <t>08.349.216/0001-79</t>
  </si>
  <si>
    <t xml:space="preserve"> Maintech Solucoes Industriais Ltda</t>
  </si>
  <si>
    <t>A Maintech Soluções Industriais desenvolve projetos completos de automação industrial, desde o conceito até a entrega final, incluindo máquinas especiais, linhas de montagem, células robotizadas e dispositivos de teste e soldagem. Com estrutura própria para usinagem, caldeiraria, montagem e logística, atende diversos setores como automotivo, plástico, embalagens e agroindústria. Atua com foco em projetos personalizados, integrando engenharia mecânica e elétrica para soluções sob medida.</t>
  </si>
  <si>
    <t>11.203.891/0001-08</t>
  </si>
  <si>
    <t>Mck Automacao Industrial Ltda</t>
  </si>
  <si>
    <t>Oferece desde programação de CLPs/IHMs, supervisórios e robôs, até integração de sistemas, montagem de painéis elétricos, retrofit de máquinas e células robotizadas</t>
  </si>
  <si>
    <t xml:space="preserve">Honda; Toyota; Scania; Electrolux, Panasonic; Suzano; ZF; Valeo; Vigor; JBS; Ihara; Loreal; </t>
  </si>
  <si>
    <t>12.502.641/0001-23</t>
  </si>
  <si>
    <t>Mke Automacao e Equipamentos Industriais Ltd</t>
  </si>
  <si>
    <t xml:space="preserve">Varzea Paulista </t>
  </si>
  <si>
    <t>19.020.427/0001-80</t>
  </si>
  <si>
    <t>Mondragon Assembly do Brasil Ltda</t>
  </si>
  <si>
    <t>201 a 500</t>
  </si>
  <si>
    <t>A empresa oferece serviços completos: desde o design e engenharia do sistema, passando pela produção das máquinas, até a instalação/comissionamento</t>
  </si>
  <si>
    <t>6 UNIDADES DE PRODUÇÃO  EM TODO O MUNDO</t>
  </si>
  <si>
    <t>30.914.209/0001-21</t>
  </si>
  <si>
    <t>Mps Robotica e Automacao Ltda</t>
  </si>
  <si>
    <t>A MPS Robótica e Automação oferece serviços especializados em robótica industrial, incluindo manutenção corretiva, preventiva e preditiva de robôs ABB, KUKA, FANUC e MOTOMAN, além de programação online e offline de células robotizadas. Também atua com consultoria técnica para viabilidade de automação, locação de robôs, venda de peças e componentes, e treinamentos personalizados para operação e manutenção de robôs industriais, atendendo empresas que buscam melhorar desempenho e confiabilidade de suas células automatizadas.</t>
  </si>
  <si>
    <t xml:space="preserve">Abb; Kuka; Fanuc; Motoman; </t>
  </si>
  <si>
    <t>58.449.363/0001-99</t>
  </si>
  <si>
    <t xml:space="preserve">Ms Tecnologia LTDA </t>
  </si>
  <si>
    <t>Especializada na fabricação de máquinas de automação com foco em soluções customizadas para linhas de produção em diversos setores industriais</t>
  </si>
  <si>
    <t xml:space="preserve">Autometal; Ushin; Continetal; Autoneum; </t>
  </si>
  <si>
    <t>Blum-Novotest; Dell; Deprag; Festo; Fanuc; Shunk; Omron; Kyence</t>
  </si>
  <si>
    <t>07.530.070/0001-09</t>
  </si>
  <si>
    <t>Nova Tecnologia Industria e Comercio de Maquinas e Equipamentos Ltda</t>
  </si>
  <si>
    <t>Soluções personalizadas para processos como pintura industrial, solda, corte a laser, montagem, paletização e final‑de‑linha, além de modernização (retrofit) de máquinas e adoção de conceitos da Indústria 4.0.</t>
  </si>
  <si>
    <t>CNHi; Cummins; Embraer; Faurencia; Mahle; ZF; Valeo</t>
  </si>
  <si>
    <t xml:space="preserve"> Pensenova atua em dois (2) escritórios, no Brasil e nos Estados Unidos</t>
  </si>
  <si>
    <t>01.533.865/0001-86</t>
  </si>
  <si>
    <t>Pollux - Hahntel Ltda</t>
  </si>
  <si>
    <t>Soluções turnkey que combinam linhas de montagem, células robotizadas, visão computacional, inteligência artificial, gêmeos digitais, software e robôs móveis autônomos.</t>
  </si>
  <si>
    <t xml:space="preserve">Volkswagen; BMW, ZF; Nestlé; Mars; Eurofarma; Farmarin; </t>
  </si>
  <si>
    <t xml:space="preserve">Cognex; Kuka; Omron; Festo; </t>
  </si>
  <si>
    <t>Recebeu da Finep o Prêmio Nacional de Inovação. A Pollux foi adquirida pela Accenture no início de 2021 e integrou a área de Industry X por quatro anos, com atuação em diversos países. Em setembro de 2025, voltou a ser uma empresa independente, mantendo parceria com a Accenture em projetos selecionados.</t>
  </si>
  <si>
    <t>72.826.944/0001-23</t>
  </si>
  <si>
    <t>Polus do Abc Automacao LTDA</t>
  </si>
  <si>
    <t>Desde o projeto e fabricação até o comissionamento de linhas de montagem, testes funcionais e instrumentação. Seu portfólio inclui máquinas para prensagem, parafusamento, soldagem, colagem, clinch e células robotizadas com robôs colaborativos e industriais.</t>
  </si>
  <si>
    <t>Arteb; Ficosa; Maxion; GM; Valeo;</t>
  </si>
  <si>
    <t xml:space="preserve">UR; </t>
  </si>
  <si>
    <t>16.715.993/0001-18</t>
  </si>
  <si>
    <t>Prefer Automacao Ltda</t>
  </si>
  <si>
    <t>Soluções completas em automação industrial, com foco em máquinas especiais, linhas de montagem automatizadas e células robotizadas.</t>
  </si>
  <si>
    <t xml:space="preserve">Alpargatas; Embraer; GM; Lear; Magna; Mangels; Metagal; Modine; Condumax; Bimbo; Panasonic; Ficosa; HBA; </t>
  </si>
  <si>
    <t xml:space="preserve">Festo; </t>
  </si>
  <si>
    <t>16.937.595/0001-46</t>
  </si>
  <si>
    <t>Q.i. Equipamentos para Automacao Industrial Ltda</t>
  </si>
  <si>
    <t>Desenvolvimento de soluções inteligentes e equipamentos especiais, com foco em automação robótica, sistemas de visão, dispositivos de solda (vibração, termofusão, ultrassom) e adequações normativas como a NR‑12.</t>
  </si>
  <si>
    <t>05.259.329/0001-95</t>
  </si>
  <si>
    <t xml:space="preserve"> Rb2 Automacao Industrial Ltda</t>
  </si>
  <si>
    <t>Desenvolvendo e fabricando dispositivos automatizados para linhas de produção, aplicando soluções completas</t>
  </si>
  <si>
    <t>28.666.866/0001-55</t>
  </si>
  <si>
    <t>Reymond Solucoes Tecnologicas Ltda</t>
  </si>
  <si>
    <t>A Reymond Soluções Tecnológicas é especializada em automação industrial, oferecendo projetos personalizados que envolvem desde o desenvolvimento de máquinas especiais, dispositivos e linhas de montagem até integração de robótica, CLPs, IHMs e sistemas de visão. Atua também com retrofit de equipamentos e serviços completos de engenharia, incluindo projeto mecânico, eletroeletrônico, montagem, comissionamento e assistência técnica.</t>
  </si>
  <si>
    <t xml:space="preserve">Balluff; Festo; Kyence; SMC; Siemens; Turck; </t>
  </si>
  <si>
    <t>certificação ISO 9001</t>
  </si>
  <si>
    <t>02.973.703/0001-21</t>
  </si>
  <si>
    <t>Servnews Robotica e Automacao Ltda</t>
  </si>
  <si>
    <t>Especializada em manutenção, recuperação e suporte técnico de robôs industriais das marcas KUKA, ABB, FANUC, Motoman, Jaka e UR. Seu escopo inclui conserto de placas eletrônicas, drives, servo motores, inversores, além de desenvolvimento de tecnologia própria para diagnóstico e testes. Oferece contratos de manutenção programada, locação de robôs recondicionados, monitoramento remoto e treinamentos personalizados em operação, programação e manutenção de robôs, atendendo indústrias que buscam manter a performance e confiabilidade de suas células robotizadas.</t>
  </si>
  <si>
    <t>KUKA, ABB, FANUC, Motoman, Jaka e UR</t>
  </si>
  <si>
    <t>36.282.533/0001-50</t>
  </si>
  <si>
    <t>Snef Industria e Automacao Ltda</t>
  </si>
  <si>
    <t>1001 a 5000</t>
  </si>
  <si>
    <t>A SNEF Brasil atua como integradora de engenharia e automação industrial, oferecendo soluções completas para linhas de produção com foco em robótica, sistemas de visão 2D/3D, veículos autônomos, esteiras e células de paletização.</t>
  </si>
  <si>
    <t>Sede no exterior</t>
  </si>
  <si>
    <t>01.074.946/0001-65</t>
  </si>
  <si>
    <t>Spi Engenharia de Automacao Ltda.</t>
  </si>
  <si>
    <t>A empresa SPI Integração de Sistemas atua na área de automação industrial e tecnologia da informação, integrando soluções de produção, mecânica, elétrica e software para clientes industriais. 
SPI Integração de Sistemas.  Seu escopo de atendimento inclui a implementação de tecnologias emergentes como RPA (automação robótica de processos), realidade aumentada/virtual, sistemas MES/ERP/SCADA, e soluções de conectividade para gerenciamento de produção, qualidade, manutenção e logística.</t>
  </si>
  <si>
    <t>29.061.722/0001-38</t>
  </si>
  <si>
    <t>Strutech Maquinas e Distribuidora Especializada Ltda</t>
  </si>
  <si>
    <t>Montagem de painéis elétricos, programação de equipamentos (como controladores Omron), adequação de maquinário à norma NR‑12, distribuição de peças originais (marcas como Omron, Phoenix Contact e Rittal) e serviços de automação sob medida</t>
  </si>
  <si>
    <t>Onrom; Phoenix; Rittal</t>
  </si>
  <si>
    <t>61.471.264/0001-18</t>
  </si>
  <si>
    <t xml:space="preserve">Swb Industria Mecanica e Automacao Industrial Ltda </t>
  </si>
  <si>
    <t>Equipamentos para testes de estanqueidade, células robotizadas, linhas de montagem, meios de movimentação (AGVs), máquinas e equipamentos especiais, além de serviços de retrofit e adequação à norma NR12</t>
  </si>
  <si>
    <t>Scania; Niterra; Toyota; Renault; ZF;</t>
  </si>
  <si>
    <t>15.285.693/0001-83</t>
  </si>
  <si>
    <t>Tesla Automacao Ltda</t>
  </si>
  <si>
    <t>Bancadas de Montagem; Equipamentos de montagem de componentes
Reforma / Modernização / Nacionalização de Equipamentos; Testes de Estanqueidade; Sistemas de Metrologia de Produtos In Loco; Sistemas de Inspeção de Montagem ou de Qualidade; Equipamentos para Teste em Laboratório; Adequação e Laudo conforme NR12</t>
  </si>
  <si>
    <t>Cummins; CBC; Plastek;</t>
  </si>
  <si>
    <t>Weg; Sick; Onrom; Festo; Siemens;</t>
  </si>
  <si>
    <t>72.368.905/0001-20</t>
  </si>
  <si>
    <t xml:space="preserve">Torfresma Industrial Ltda </t>
  </si>
  <si>
    <t>São Miguel do Oeste</t>
  </si>
  <si>
    <t>Linhas completas de automação “turn‑key”, que vão desde o projeto, fabricação e instalação até comissionamento, com foco inicial em abate e desossa de bovinos, suínos, aves e peixes, bem como em sistemas de embalagem, encaixotamento, transportadores, movimentação de carga, paletização e intralogística.</t>
  </si>
  <si>
    <t>Avon; Astra;Ypê</t>
  </si>
  <si>
    <t>Presença no Chile e nos EUA</t>
  </si>
  <si>
    <t>46.315.976/0001-54</t>
  </si>
  <si>
    <t>Valemat Administradora Ltda</t>
  </si>
  <si>
    <t>A Vale Automação Industrial oferece soluções completas em automação e materiais elétricos, atuando desde o fornecimento de componentes como CLPs, IHMs, inversores, sensores e sistemas de segurança até o desenvolvimento de projetos integrados para digitalização industrial. Com presença em diversos estados do Brasil e parcerias com marcas globais como a Schneider Electric, atende empresas de diferentes portes com foco em eficiência, sustentabilidade e implantação de conceitos da Indústria 4.0, fornecendo suporte técnico, consultoria e integração de sistemas para modernização e otimização de plantas produtivas.</t>
  </si>
  <si>
    <t>Steck; ABB; Eurotherm; Telemecanique</t>
  </si>
  <si>
    <t>Data da Venda</t>
  </si>
  <si>
    <t>Data de Emissão da NF</t>
  </si>
  <si>
    <t>Vendedor Responsável</t>
  </si>
  <si>
    <t>Tipo de Solução</t>
  </si>
  <si>
    <t>Descrição do Projeto</t>
  </si>
  <si>
    <t>Valor da Venda (R$)</t>
  </si>
  <si>
    <t>OS.</t>
  </si>
  <si>
    <t>Proposta</t>
  </si>
  <si>
    <t>Deslocamento em garantia</t>
  </si>
  <si>
    <t>ASSISTÊNCIA TÉCNICA PARA MELHORIA PARA A MÁQUINA DE MONTAGEM DE SERINGAS</t>
  </si>
  <si>
    <t>2379 / A</t>
  </si>
  <si>
    <t>INSTALAÇÃO DO ACOPLADOR DA ARTICULAÇÃO DE ESFERA</t>
  </si>
  <si>
    <t>DISPOSITIVO PARA ESTAÇÃO DE MONTAGEM E DESMONTAGEM ATAQUE ÁCIDO (PROJETO CÉLULA DE ATAQUE</t>
  </si>
  <si>
    <t>2158 E</t>
  </si>
  <si>
    <t>ASSISTÊNCIA TÉCNICA PARA VERIFICAR O SISTEMA DE VISÃO</t>
  </si>
  <si>
    <t>2328/A</t>
  </si>
  <si>
    <t>SPARTE PARTS PARA O SISTEMA DE VISÃO</t>
  </si>
  <si>
    <t>2384/A</t>
  </si>
  <si>
    <t>BATERIA NÃO RECARREGÁVEL PARA ENCODER</t>
  </si>
  <si>
    <t>REVENDA</t>
  </si>
  <si>
    <t>SERVIÇOS DE ENGENHARIA PARA ALIMENTAÇÃO AUTOMÁTICA DE CAPAS EM RETÍFICA CENTERLESS</t>
  </si>
  <si>
    <t>BRAÇO EXTERIOR,QUATTRO S650 COM MOLAS</t>
  </si>
  <si>
    <t>2415/A</t>
  </si>
  <si>
    <t>ASSISTÊNCIA TÉCNICA NO ROBÔ ADEPT QUATTRO</t>
  </si>
  <si>
    <t>LEAK TESTER FILLER PIPE RENAULT X67</t>
  </si>
  <si>
    <t>2239/D</t>
  </si>
  <si>
    <t>FINISHING CENTER OF THE FILLER PIPE FOR RENAULT X67 L7</t>
  </si>
  <si>
    <t>2179/E</t>
  </si>
  <si>
    <t>PROGRAMAÇÃO NA LINHA DO SISTEMA DE COLAGEM</t>
  </si>
  <si>
    <t>SENSOR FOTOELETRICO LASER, DIFUSO, SAIDA E CONECTOR FEMEA, M8, ANGULAR, 4 PINOS</t>
  </si>
  <si>
    <t>DISPOSITIVO DE CONFORMAÇÃO TUB D CONFORMING MACHINE</t>
  </si>
  <si>
    <t>2213/D</t>
  </si>
  <si>
    <t>ADENDO DISPOSITIVO PARA INSTALAÇÃO DA CORTINA DE LUZ PARA O DISPOS. TUB D CONFORMING MACHINE</t>
  </si>
  <si>
    <t>PROGRAMAÇÃO E AJUSTES NO PROTOCOLO DE COMUNICAÇÃO DA AUTOMAÇÃO  JUNTO AO SISTEMA.</t>
  </si>
  <si>
    <t>2390/C</t>
  </si>
  <si>
    <t>PROGRAMAÇÃO NO ROBÔ DA LINHA 05</t>
  </si>
  <si>
    <t>2217/A</t>
  </si>
  <si>
    <t>DISPOSITIVO ALIMENTAÇÃO AUTOMÁTICA DE CAPAS EM RETÍFICA CENTERLESS</t>
  </si>
  <si>
    <t>2373 A</t>
  </si>
  <si>
    <t>ASSISTÊNCIA TÉCNICA PARA TROCA DE ESTEIRA</t>
  </si>
  <si>
    <t>MONTAGEM MECANICO NO SISTEMA DE COLAGEM DOS MACHOS</t>
  </si>
  <si>
    <t>PLACA DE DOBRA SUPERIOR (DES: 00936-020-150-CB)</t>
  </si>
  <si>
    <t>PROGRAMAÇÃO PARA INSTALAR O KIT ROBÔ NOVO NA 3M ITAPETININGA</t>
  </si>
  <si>
    <t>SPARE PARTS PARA DEDO GARRA 10 K</t>
  </si>
  <si>
    <t>ACOMPANHAMENTO DA INSTALAÇÃO E START UP DO DISPOSITIVO DE CONFORMAÇÃO TUB D CONFORMING MACHINE</t>
  </si>
  <si>
    <t>2463/A</t>
  </si>
  <si>
    <t>ASSISTÊNCIA TÉCNICA PARA TROCA DO MOTOR NO ROBÔ S350</t>
  </si>
  <si>
    <t>2421/A</t>
  </si>
  <si>
    <t>MANUTENÇÃO PREVENTIVA EM ROBÔ ADEPT</t>
  </si>
  <si>
    <t>PROGRAMAÇÃO E AJUSTES NO ROBÔ</t>
  </si>
  <si>
    <t>LENTE OBJETIVA MODELO: EDMUND 12MM LEC-58001</t>
  </si>
  <si>
    <t>-</t>
  </si>
  <si>
    <t>2482/A</t>
  </si>
  <si>
    <t>01 CÉLULA ROBOTIZADA COM 01 ROBÔ HC10DTP – YRC1000, 01 PLACA</t>
  </si>
  <si>
    <t>2334/A</t>
  </si>
  <si>
    <t>LAMPADA DE FILAMENTO, W2X4.6D,6V,1.2</t>
  </si>
  <si>
    <t>2479/A</t>
  </si>
  <si>
    <t>CONSULTORIA EM AUTOMAÇÃO INDUSTRIAL</t>
  </si>
  <si>
    <t>BRACO ADEPT TECHNOLOGY PN09756000</t>
  </si>
  <si>
    <t>PARAF AUT 3-19 - SKD-BN519LESD / TORQUE CRISTAL - KC-6C / TRAFO 32V (6P) P/ - SKP-32BC-60W</t>
  </si>
  <si>
    <t>PROGRAMAÇÃO EM ROBÔ ADEPT</t>
  </si>
  <si>
    <t>PROGRAMAÇÃO PARA POKAYOKE PARA EVITAR COLISÃO</t>
  </si>
  <si>
    <t>INSTRUÇÃO E ANALISE DA MÁQUINA AUTOLOADER FINISHER PARA ELABORAÇÃO DO VALOR VENAL DO EQUIPAMENTO.</t>
  </si>
  <si>
    <t>2469/A</t>
  </si>
  <si>
    <t>ANÁLISE DA PROGRAMAÇÃO DO ROBÔ FANUC</t>
  </si>
  <si>
    <t>ENGRENAGEM PLASTICA X65</t>
  </si>
  <si>
    <t>2471/A</t>
  </si>
  <si>
    <t>PROGRAMAÇÃO PARA VERIFICAR O ENCODER DO MOTOR DO ROBÔ</t>
  </si>
  <si>
    <t>2508 /A</t>
  </si>
  <si>
    <t>USINAGEM CONFORME DESENHO</t>
  </si>
  <si>
    <t>DISPOSITIVO 6ES7222-1BH32-OXB0</t>
  </si>
  <si>
    <t>PROGRAMAÇÃO NO PROTÓTIPO MICROSERT</t>
  </si>
  <si>
    <t>2413/A</t>
  </si>
  <si>
    <t>ASSISTÊNCIA TÉCNICA PARA CONSERTO DO ROBÔ ADEPT</t>
  </si>
  <si>
    <t>2439/A</t>
  </si>
  <si>
    <t>PROGRAMAÇÃO MAQUINA TRIPLA</t>
  </si>
  <si>
    <t>2536/A</t>
  </si>
  <si>
    <t>CÉLULA ROBOTIZADA COM 02 ROBÔS HC10DTP – YRC1000, 02 PLACAS</t>
  </si>
  <si>
    <t>2412/B</t>
  </si>
  <si>
    <t>INSTALAÇÃO E ADEQUAÇÃO DA CÉLULA PW</t>
  </si>
  <si>
    <t>2197/F</t>
  </si>
  <si>
    <t>(USINAGEM CONFORME DESENHO) IMPRESSÃO DE BERÇO EM IMPRESSÃO EM TRITAM</t>
  </si>
  <si>
    <t>2542 A</t>
  </si>
  <si>
    <t>USINAGEM CONFORME O DESENHO: IMPRESSÃO DE UM BERÇO UTILIZANDO O PROCESSO EM TRITAM</t>
  </si>
  <si>
    <t>MANUTENÇÃO PREVENTIVA NA CÉLULA ROBÓTICA</t>
  </si>
  <si>
    <t>PROGRAMAÇÃO NA CÉLULA DE MONTAGEM DE SERINGAS</t>
  </si>
  <si>
    <t>ASSISTÊNCIA TÉCNICA EM GARANTIA NA MÁQUINA DE DISPOSITIVO DE CONFORMAÇÃO TUB D CONFORMING MACHINE</t>
  </si>
  <si>
    <t>2544 A</t>
  </si>
  <si>
    <t>PROTÓTIPO PARA POSICIONAMENTO ROBOTIZADO DE MINI-ESKIBON</t>
  </si>
  <si>
    <t>2489 D</t>
  </si>
  <si>
    <t>ASSISTÊNCIA TÉCNICA PARA CONSERTO DO ROBÔ</t>
  </si>
  <si>
    <t>2575 B</t>
  </si>
  <si>
    <t>FREIO DA JUNTA 3, COM CONECTOR</t>
  </si>
  <si>
    <t>CONSULTORIA PARA IMPLEMENTAÇÃO DO MONDAY.COM NA ÁREA DE VENDAS</t>
  </si>
  <si>
    <t>2593 A</t>
  </si>
  <si>
    <t>ANÁLISE E INSTRUÇÃO DA PRENSA HIDRÁULICA COM CAPACIDADE DE 150 TON PARA ELABORAÇÃO DO VALOR VENAL DO EQUIPAMENTO</t>
  </si>
  <si>
    <t>DISPOSITIVO DE CRAVAÇÃO DE CAPA TERMOELEMENTO</t>
  </si>
  <si>
    <t>2369 C</t>
  </si>
  <si>
    <t>PROGRAMAÇÃO PARA REPOSIÇÃO DE PEÇAS</t>
  </si>
  <si>
    <t>2562 B</t>
  </si>
  <si>
    <t>SPARE PARTS - FERRAMENTA DE DOBRA</t>
  </si>
  <si>
    <t>2483 C</t>
  </si>
  <si>
    <t>CÉLULA ROBÓTICA PARA MANIPULAÇÃO DE ROLAMENTOS - SERVIÇOS</t>
  </si>
  <si>
    <t>2566 A</t>
  </si>
  <si>
    <t>PROGRAMAÇÃO - ACESSO REMOTO CBC</t>
  </si>
  <si>
    <t>CORREIA L 10LG ESP. DIMENSÕES (M): 0,9500 X 0,1500</t>
  </si>
  <si>
    <t>CORREIA L 10LG</t>
  </si>
  <si>
    <t>2545 A</t>
  </si>
  <si>
    <t>PROGRAMAÇÃO PARA AJUSTAR OS PARÂMETROS NA CÉLULA ROBÓTICA FANUC.</t>
  </si>
  <si>
    <t>TAMPA DE LIGAÇÃO EXTERNA COBRA 450, 500,</t>
  </si>
  <si>
    <t>PROGRAMAÇÃO NA CÉLULA ROBÓTICA EMPACOTAR 1 E 2</t>
  </si>
  <si>
    <t>SPARE PARTS PARA A EIXO ESTICADOR ROBO DES.00936-020-085</t>
  </si>
  <si>
    <t>COMPENSADOR DE NIVEL LC25-F3840</t>
  </si>
  <si>
    <t>AUTOMAÇÃO DA CÉLULA FILTROS AQUALAR - FASE 1</t>
  </si>
  <si>
    <t>2470 C</t>
  </si>
  <si>
    <t>CILINDRO GUIA</t>
  </si>
  <si>
    <t>DISPOSITIVO DE ALIMENTAÇÃO DE PRODUTOS NA VERTICAL EM MÁQUINA DE SERIGRAFIA E ADEQUAÇÃO NR12</t>
  </si>
  <si>
    <t>PROGRAMAÇÃO NA MÁQUINA TRIPLA</t>
  </si>
  <si>
    <t>PROGRAMAÇÃO DE 15 MOSAICOS DE PALETIZAÇÃO DE CAIXAS</t>
  </si>
  <si>
    <t>2609 B</t>
  </si>
  <si>
    <t>KIT DE ENCODER PARA ROBO, JUNTA 4 COM ALTA RESOLUÇÃO, SCOBRA</t>
  </si>
  <si>
    <t>2583 B</t>
  </si>
  <si>
    <t>ASSISTÊNCIA TÉCNICA EMPACOTADOR ROBÓTICO</t>
  </si>
  <si>
    <t>SERVIÇO DE ENGENHARIA PARA ADEQUAÇÃO FERRAMENTAL ACQUALAR</t>
  </si>
  <si>
    <t>PROGRAMAÇÂO EM SISTEMA DE VISÃO</t>
  </si>
  <si>
    <t>2683 A</t>
  </si>
  <si>
    <t>RETROFIT BRACKET STATION PROCESS MK120</t>
  </si>
  <si>
    <t>2657 A</t>
  </si>
  <si>
    <t>QUILL, SPLINE SHAFT, COBRA S350</t>
  </si>
  <si>
    <t>2436 B</t>
  </si>
  <si>
    <t>PROGRAMAÇÃO PARA  DISPOSITIVO DE BERÇO</t>
  </si>
  <si>
    <t>PROGRAMAÇÃO NA MÁQUINA DE MONTAGEM DE CONECTORES</t>
  </si>
  <si>
    <t>SERVIÇO DE ENGENHARIA DE RETROFIT DA MÁQUINA DE MONTAGEM DO SNORKEL</t>
  </si>
  <si>
    <t>CABO ADAPTADOR EAIB SYSTEM DE 2M</t>
  </si>
  <si>
    <t>CÉLULA ROBÓTICA PARA MANIPULAÇÃO DE ROLAMENTOS (ITEM1/2)</t>
  </si>
  <si>
    <t>2537 B</t>
  </si>
  <si>
    <t>SERVO MOTOR JUNTA 2</t>
  </si>
  <si>
    <t>2627 A</t>
  </si>
  <si>
    <t>DISPOSITIVO SPARE PARTS - CÉLULA DE PALETIZAÇÃO</t>
  </si>
  <si>
    <t>2660 B</t>
  </si>
  <si>
    <t>CELULA DE PALETIZAÇÃO COM ROBÔ ABB</t>
  </si>
  <si>
    <t>2539 C</t>
  </si>
  <si>
    <t>MÁQUINA DE MONTAGEM AUTOMÁTICA DE SEGMENTO DE BOMBA PERISTÁLTICA</t>
  </si>
  <si>
    <t>2388/B</t>
  </si>
  <si>
    <t>PROJETO PARA O DISPOSITIVO PARA ENCLAUSURAMENTO DAS LINHAS DE GUARDANAPOS 010, 020, 035 E 040</t>
  </si>
  <si>
    <t>2607 D</t>
  </si>
  <si>
    <t>ESTEIRA ACUMULADORA PÓS FLOWPACK</t>
  </si>
  <si>
    <t>2613 A</t>
  </si>
  <si>
    <t>ESTEIRAS SAMPLA</t>
  </si>
  <si>
    <t>AUTOMAÇÃO DA CÉLULA FILTROS AQUALAR</t>
  </si>
  <si>
    <t>2225 D</t>
  </si>
  <si>
    <t>BATERIA LITHIUM 3.6 V</t>
  </si>
  <si>
    <t>PROGRAMAÇÃO PARA AJUSTE DE PARÂMETROS DO ROBÔ ADEPT</t>
  </si>
  <si>
    <t>2727 A</t>
  </si>
  <si>
    <t>CONSERTO DO ROBÔ NA PLANTA DA ARV</t>
  </si>
  <si>
    <t>2724 A</t>
  </si>
  <si>
    <t>LAMPADA DE FILAMENTO, W2X4.6D, 6V, 1.2</t>
  </si>
  <si>
    <t>POLIA GT2 20 DENTES ALUMÍNIO FURO 5MM CORREIA 6MM</t>
  </si>
  <si>
    <t>RESERVATÓRIO PNEUMÁTICO PARA O DISPOSITIVO DE CORTE AUTOMÁTICO DE TUBOS DE PCV</t>
  </si>
  <si>
    <t>PALLETES RESERVAS PARA A MÁQUINA DE SEGMENTO DE BOMBA</t>
  </si>
  <si>
    <t>ESCADA PLATAFORMA PARA O DISPOSITIVO DE SEGMENTO DE BOMBA</t>
  </si>
  <si>
    <t>ILUMINAÇÃO  NAS PUS COM INTERRUPTOR PARA O DISPOSITIVO DE SEGMENTO DE BOMBA</t>
  </si>
  <si>
    <t>DESBOBINADOR PARA O  DISPOSITIVO DE SEGMENTO DE BOMBA (SETUP )</t>
  </si>
  <si>
    <t>DISPOSITIVO COM TROCA DE PRESSÃO</t>
  </si>
  <si>
    <t>CORREIA DENTADA</t>
  </si>
  <si>
    <t>2677 A</t>
  </si>
  <si>
    <t>DISPOSITIVO DE SPARE PARTS PARA A MAQUINA DE CRAVAÇÃO - ARV</t>
  </si>
  <si>
    <t>RETROFIT DA MÁQUINA DE CONFORMAÇÃO DO TUB D</t>
  </si>
  <si>
    <t>2612 B</t>
  </si>
  <si>
    <t>PROGRAMAÇÃO PARA INSTALAR MÁQUINA (TRANSPORTE)</t>
  </si>
  <si>
    <t>CABO, POTÊNCIA / SINAL DO ROBÔ, ADEPT 4M</t>
  </si>
  <si>
    <t>2734 A</t>
  </si>
  <si>
    <t>MÁQUINA DE ESTANQUEIDADE LMC</t>
  </si>
  <si>
    <t>2530 B</t>
  </si>
  <si>
    <t>SISTEMA DE MONITORAMENTO DE PALETES</t>
  </si>
  <si>
    <t>DISPOSITIVO PARA ADEQUAÇÃO NR12 – GUARDANAPOS – LINHAS 010, 020, 035 E 040</t>
  </si>
  <si>
    <t>2565 K</t>
  </si>
  <si>
    <t>ANALISE DA CÉLULA ACQUALAR</t>
  </si>
  <si>
    <t>ANALISE DA CÉLULA ROBÓTICA</t>
  </si>
  <si>
    <t>PROGRAMAÇÃO E INSTALAÇÃO MILLING MACHINE - AOS FINAIS DE SEMANA</t>
  </si>
  <si>
    <t>DISPOSITIVO PARA ADEQUAÇÃO NR12  LINHAS 010, 020, 035  - PAINÉIS GUARDANAPO</t>
  </si>
  <si>
    <t>2647 A</t>
  </si>
  <si>
    <t>CONSULTORIA TÉCNICA</t>
  </si>
  <si>
    <t>DISPOSITIVO DE ESTEIRA</t>
  </si>
  <si>
    <t>ADENDO INSTALAR VÁLVULA DE EXPULSÃO DE SUJIDADE</t>
  </si>
  <si>
    <t>2811 A</t>
  </si>
  <si>
    <t>CÉLULA POSICIONAMENTO ROBÓTICO MINI-ESKIBON</t>
  </si>
  <si>
    <t>2701 G</t>
  </si>
  <si>
    <t>PROGRAMAÇÃO DO EMPACOTAR ROBOTICO</t>
  </si>
  <si>
    <t>2807 A</t>
  </si>
  <si>
    <t>CONSERTO DO ROBÔ NA PLANTA DA ARV PARA TROCA DO DRIVE</t>
  </si>
  <si>
    <t>2725 B</t>
  </si>
  <si>
    <t>DRIVE HARMONICO, JUNTA 2</t>
  </si>
  <si>
    <t>2733 A</t>
  </si>
  <si>
    <t>PROGRAMAÇÃO NO ROBÔ ADEPT</t>
  </si>
  <si>
    <t>2796/A</t>
  </si>
  <si>
    <t>MANUTENÇÃO MECÂNICA PARA ADEQUAÇÃO DA CÉLULA ROBÓTICA – INSERÇÃO DO PRODUTO KARP</t>
  </si>
  <si>
    <t>2797/A</t>
  </si>
  <si>
    <t>RESTAURAÇÃO (CONSERTO) DO ROBÔ PARA TROCA DO FUSO</t>
  </si>
  <si>
    <t>2798/A</t>
  </si>
  <si>
    <t>GRAVADOR A LASER – ESPECIFICAÇÃO NÚMERO SKF-BR-TS – 418</t>
  </si>
  <si>
    <t>2622 C</t>
  </si>
  <si>
    <t>DISPOSITIVO MILLING MACHINE E BATIMENTO</t>
  </si>
  <si>
    <t>ADENDO RETROFIT BRACKET STATION PROCESS MK120</t>
  </si>
  <si>
    <t>1156 / 1167</t>
  </si>
  <si>
    <t>2806 A</t>
  </si>
  <si>
    <t>SPARE PARTS – DISPOSITIVO DE ATAQUE ÁCIDO</t>
  </si>
  <si>
    <t>LINHA DE MONTAGEM SEMI-AUTOMÁTICA (HARDWARE)</t>
  </si>
  <si>
    <t>2732 C</t>
  </si>
  <si>
    <t>SERVIÇO DE ENGENHARIA PARA INSTALAÇÃO DA LINHA DE MONTAGEM SEMI AUTOMATICA</t>
  </si>
  <si>
    <t>2752 A</t>
  </si>
  <si>
    <t>ESTAÇÃO DE ASSEPSIA</t>
  </si>
  <si>
    <t>2731 A</t>
  </si>
  <si>
    <t>ALTERAÇÃO SERVOMOTOR LINHA DE MONTAGEM (ADENDO)</t>
  </si>
  <si>
    <t>2776 B</t>
  </si>
  <si>
    <t>APOIOS DO PRODUTO NO BERÇO</t>
  </si>
  <si>
    <t>LINHA DE MONTAGEM BRACKET OSH J4U</t>
  </si>
  <si>
    <t>2569 E</t>
  </si>
  <si>
    <t>MONTAGEM E PROJETO DE SEIS PAINÉIS ELÉTRICO PARA ADEQUAÇÃO DAS NORMAS DE SEGURANÇA</t>
  </si>
  <si>
    <t>2718 D</t>
  </si>
  <si>
    <t>SPARE PARTS CÉLULA ROBOTICA</t>
  </si>
  <si>
    <t>SPARE PARTS DO ROBÔ ADEPT OMRON</t>
  </si>
  <si>
    <t>2769 a</t>
  </si>
  <si>
    <t xml:space="preserve">MÁQUINA PARA MONTAGEM SEMIAUTOMÁTICA DE CHARLYN </t>
  </si>
  <si>
    <t>2755 A</t>
  </si>
  <si>
    <t>MÁQUINA PARA MONTAGEM SEMIAUTOMÁTICA DE CHARLYN (ALTERAÇÃO DA PRENSA)</t>
  </si>
  <si>
    <t>DISPOSITIVOS PARA LINHA DE MONTAGEM DE CUBOS REDUTORES</t>
  </si>
  <si>
    <t>2678/E</t>
  </si>
  <si>
    <t>ESTEIRA TRANSPORTADORA DE ROLOS (ESTEIRAS PACO 54 SF)</t>
  </si>
  <si>
    <t>MANUTENÇÃO PREVENTIVA DO ROBÔ ADEPT</t>
  </si>
  <si>
    <t>SPARE PARTS CÉLULA ROBÓTICA</t>
  </si>
  <si>
    <t>ASSISTENCIA TECNICA PREVENTIVA ROBO DA MAQUINA DE MONTAGEM AIR INTAKE</t>
  </si>
  <si>
    <t>2770 A</t>
  </si>
  <si>
    <t>PROGRAMAÇÃO NO SISTEMA DE VISÃO</t>
  </si>
  <si>
    <t>PLATAFORMA DE MONTAGEM, P31, +/- 46</t>
  </si>
  <si>
    <t>2324 C</t>
  </si>
  <si>
    <t>CORREIA TRANSPORT 65+ FLAT L4968</t>
  </si>
  <si>
    <t>ASSISTENCIA TÉCNICA PARA LINHA DE COLAGEM DE MACHOS</t>
  </si>
  <si>
    <t>2794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</si>
</sst>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0.0%"/>
    <numFmt numFmtId="166" formatCode="yyyy\-mm\-dd\ h:mm:ss"/>
    <numFmt numFmtId="167" formatCode="dd/mm/yy"/>
    <numFmt numFmtId="168" formatCode="[$R$-416]\ #,##0.00;[Red]\-[$R$-416]\ #,##0.00"/>
  </numFmts>
  <fonts count="1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8"/>
      <color rgb="FFFFFFFF"/>
      <name val="Calibri"/>
      <family val="2"/>
    </font>
    <font>
      <b/>
      <sz val="14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0"/>
      <name val="Times New Roman"/>
      <family val="1"/>
    </font>
    <font>
      <b/>
      <sz val="10"/>
      <name val="Tahoma"/>
      <family val="2"/>
    </font>
    <font>
      <sz val="11"/>
      <color rgb="FF000000"/>
      <name val="Calibri"/>
      <family val="2"/>
    </font>
    <font>
      <b/>
      <sz val="10"/>
      <color rgb="FF000000"/>
      <name val="Times New Roman"/>
      <family val="1"/>
    </font>
    <font>
      <b/>
      <sz val="10"/>
      <name val="Calibri"/>
      <family val="2"/>
      <scheme val="minor"/>
    </font>
    <font>
      <b/>
      <sz val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03864"/>
        <bgColor rgb="FF203864"/>
      </patternFill>
    </fill>
    <fill>
      <patternFill patternType="solid">
        <fgColor rgb="FFDDEBF7"/>
        <bgColor rgb="FFDDEBF7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9" fillId="0" borderId="0">
      <alignment vertical="top"/>
    </xf>
    <xf numFmtId="0" fontId="12" fillId="0" borderId="0">
      <alignment vertical="top"/>
    </xf>
    <xf numFmtId="0" fontId="12" fillId="0" borderId="0">
      <alignment vertical="top"/>
    </xf>
  </cellStyleXfs>
  <cellXfs count="60">
    <xf numFmtId="0" fontId="0" fillId="0" borderId="0" xfId="0"/>
    <xf numFmtId="0" fontId="5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164" fontId="0" fillId="0" borderId="0" xfId="0" applyNumberFormat="1"/>
    <xf numFmtId="1" fontId="0" fillId="6" borderId="0" xfId="0" applyNumberFormat="1" applyFill="1"/>
    <xf numFmtId="164" fontId="0" fillId="6" borderId="0" xfId="0" applyNumberFormat="1" applyFill="1"/>
    <xf numFmtId="165" fontId="0" fillId="6" borderId="0" xfId="0" applyNumberFormat="1" applyFill="1"/>
    <xf numFmtId="165" fontId="0" fillId="0" borderId="0" xfId="0" applyNumberFormat="1"/>
    <xf numFmtId="0" fontId="7" fillId="0" borderId="0" xfId="0" applyFont="1"/>
    <xf numFmtId="166" fontId="0" fillId="0" borderId="0" xfId="0" applyNumberFormat="1"/>
    <xf numFmtId="0" fontId="8" fillId="7" borderId="0" xfId="0" applyFont="1" applyFill="1"/>
    <xf numFmtId="0" fontId="0" fillId="8" borderId="0" xfId="0" applyFill="1"/>
    <xf numFmtId="167" fontId="10" fillId="9" borderId="1" xfId="1" applyNumberFormat="1" applyFont="1" applyFill="1" applyBorder="1" applyAlignment="1">
      <alignment horizontal="center" vertical="center" wrapText="1"/>
    </xf>
    <xf numFmtId="167" fontId="10" fillId="9" borderId="2" xfId="1" applyNumberFormat="1" applyFont="1" applyFill="1" applyBorder="1" applyAlignment="1">
      <alignment horizontal="center" vertical="center" wrapText="1"/>
    </xf>
    <xf numFmtId="1" fontId="10" fillId="9" borderId="3" xfId="0" applyNumberFormat="1" applyFont="1" applyFill="1" applyBorder="1" applyAlignment="1">
      <alignment horizontal="center" vertical="center" wrapText="1"/>
    </xf>
    <xf numFmtId="0" fontId="10" fillId="9" borderId="2" xfId="1" applyFont="1" applyFill="1" applyBorder="1" applyAlignment="1">
      <alignment horizontal="center" vertical="center" wrapText="1"/>
    </xf>
    <xf numFmtId="0" fontId="11" fillId="9" borderId="2" xfId="1" applyFont="1" applyFill="1" applyBorder="1" applyAlignment="1">
      <alignment horizontal="center" vertical="center" wrapText="1"/>
    </xf>
    <xf numFmtId="168" fontId="10" fillId="9" borderId="2" xfId="1" applyNumberFormat="1" applyFont="1" applyFill="1" applyBorder="1" applyAlignment="1">
      <alignment horizontal="center" vertical="center" wrapText="1"/>
    </xf>
    <xf numFmtId="168" fontId="11" fillId="9" borderId="2" xfId="1" applyNumberFormat="1" applyFont="1" applyFill="1" applyBorder="1" applyAlignment="1">
      <alignment horizontal="center" vertical="center" wrapText="1"/>
    </xf>
    <xf numFmtId="167" fontId="10" fillId="9" borderId="4" xfId="1" applyNumberFormat="1" applyFont="1" applyFill="1" applyBorder="1" applyAlignment="1">
      <alignment horizontal="center" vertical="center" wrapText="1"/>
    </xf>
    <xf numFmtId="168" fontId="10" fillId="9" borderId="4" xfId="1" applyNumberFormat="1" applyFont="1" applyFill="1" applyBorder="1" applyAlignment="1">
      <alignment horizontal="center" vertical="center" wrapText="1"/>
    </xf>
    <xf numFmtId="0" fontId="10" fillId="9" borderId="2" xfId="1" applyFont="1" applyFill="1" applyBorder="1" applyAlignment="1">
      <alignment horizontal="center" wrapText="1"/>
    </xf>
    <xf numFmtId="0" fontId="10" fillId="9" borderId="2" xfId="1" applyFont="1" applyFill="1" applyBorder="1" applyAlignment="1">
      <alignment horizontal="center" vertical="top" wrapText="1"/>
    </xf>
    <xf numFmtId="0" fontId="10" fillId="9" borderId="4" xfId="1" applyFont="1" applyFill="1" applyBorder="1" applyAlignment="1">
      <alignment horizontal="center" wrapText="1"/>
    </xf>
    <xf numFmtId="0" fontId="10" fillId="9" borderId="4" xfId="1" applyFont="1" applyFill="1" applyBorder="1" applyAlignment="1">
      <alignment horizontal="center" vertical="top" wrapText="1"/>
    </xf>
    <xf numFmtId="1" fontId="10" fillId="9" borderId="4" xfId="2" applyNumberFormat="1" applyFont="1" applyFill="1" applyBorder="1" applyAlignment="1">
      <alignment horizontal="center" vertical="top" wrapText="1"/>
    </xf>
    <xf numFmtId="0" fontId="10" fillId="9" borderId="3" xfId="1" applyFont="1" applyFill="1" applyBorder="1" applyAlignment="1">
      <alignment horizontal="center" wrapText="1"/>
    </xf>
    <xf numFmtId="1" fontId="10" fillId="9" borderId="3" xfId="2" applyNumberFormat="1" applyFont="1" applyFill="1" applyBorder="1" applyAlignment="1">
      <alignment horizontal="center" vertical="top" wrapText="1"/>
    </xf>
    <xf numFmtId="1" fontId="10" fillId="9" borderId="3" xfId="3" applyNumberFormat="1" applyFont="1" applyFill="1" applyBorder="1" applyAlignment="1">
      <alignment horizontal="center" vertical="top" wrapText="1"/>
    </xf>
    <xf numFmtId="1" fontId="10" fillId="9" borderId="3" xfId="3" applyNumberFormat="1" applyFont="1" applyFill="1" applyBorder="1" applyAlignment="1">
      <alignment horizontal="center" vertical="center" wrapText="1"/>
    </xf>
    <xf numFmtId="1" fontId="10" fillId="9" borderId="5" xfId="2" applyNumberFormat="1" applyFont="1" applyFill="1" applyBorder="1" applyAlignment="1">
      <alignment horizontal="center" vertical="top" wrapText="1"/>
    </xf>
    <xf numFmtId="1" fontId="10" fillId="9" borderId="5" xfId="2" applyNumberFormat="1" applyFont="1" applyFill="1" applyBorder="1" applyAlignment="1">
      <alignment horizontal="center" vertical="center" wrapText="1"/>
    </xf>
    <xf numFmtId="1" fontId="10" fillId="9" borderId="3" xfId="2" applyNumberFormat="1" applyFont="1" applyFill="1" applyBorder="1" applyAlignment="1">
      <alignment horizontal="center" vertical="center" wrapText="1"/>
    </xf>
    <xf numFmtId="0" fontId="13" fillId="9" borderId="3" xfId="2" applyFont="1" applyFill="1" applyBorder="1" applyAlignment="1">
      <alignment horizontal="center" vertical="top"/>
    </xf>
    <xf numFmtId="0" fontId="0" fillId="0" borderId="0" xfId="0" quotePrefix="1"/>
    <xf numFmtId="167" fontId="10" fillId="9" borderId="2" xfId="1" applyNumberFormat="1" applyFont="1" applyFill="1" applyBorder="1" applyAlignment="1">
      <alignment horizontal="center" wrapText="1"/>
    </xf>
    <xf numFmtId="167" fontId="14" fillId="9" borderId="2" xfId="1" applyNumberFormat="1" applyFont="1" applyFill="1" applyBorder="1" applyAlignment="1">
      <alignment horizontal="center" wrapText="1"/>
    </xf>
    <xf numFmtId="167" fontId="10" fillId="9" borderId="4" xfId="1" applyNumberFormat="1" applyFont="1" applyFill="1" applyBorder="1" applyAlignment="1">
      <alignment horizontal="center" wrapText="1"/>
    </xf>
    <xf numFmtId="167" fontId="15" fillId="9" borderId="2" xfId="1" applyNumberFormat="1" applyFont="1" applyFill="1" applyBorder="1" applyAlignment="1">
      <alignment horizontal="center" wrapText="1"/>
    </xf>
    <xf numFmtId="168" fontId="10" fillId="9" borderId="2" xfId="1" applyNumberFormat="1" applyFont="1" applyFill="1" applyBorder="1" applyAlignment="1">
      <alignment horizontal="center" wrapText="1"/>
    </xf>
    <xf numFmtId="168" fontId="14" fillId="9" borderId="2" xfId="1" applyNumberFormat="1" applyFont="1" applyFill="1" applyBorder="1" applyAlignment="1">
      <alignment horizontal="center" wrapText="1"/>
    </xf>
    <xf numFmtId="168" fontId="10" fillId="9" borderId="4" xfId="1" applyNumberFormat="1" applyFont="1" applyFill="1" applyBorder="1" applyAlignment="1">
      <alignment horizontal="center" wrapText="1"/>
    </xf>
    <xf numFmtId="1" fontId="10" fillId="9" borderId="3" xfId="3" applyNumberFormat="1" applyFont="1" applyFill="1" applyBorder="1" applyAlignment="1">
      <alignment horizontal="center" wrapText="1"/>
    </xf>
    <xf numFmtId="1" fontId="10" fillId="9" borderId="4" xfId="3" applyNumberFormat="1" applyFont="1" applyFill="1" applyBorder="1" applyAlignment="1">
      <alignment horizontal="center" wrapText="1"/>
    </xf>
    <xf numFmtId="1" fontId="14" fillId="9" borderId="3" xfId="3" applyNumberFormat="1" applyFont="1" applyFill="1" applyBorder="1" applyAlignment="1">
      <alignment horizontal="center" wrapText="1"/>
    </xf>
    <xf numFmtId="0" fontId="14" fillId="9" borderId="2" xfId="1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0" xfId="0" applyFont="1" applyFill="1"/>
    <xf numFmtId="0" fontId="8" fillId="11" borderId="0" xfId="0" applyFont="1" applyFill="1"/>
    <xf numFmtId="168" fontId="0" fillId="0" borderId="0" xfId="0" applyNumberForma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Alignment="1"/>
    <xf numFmtId="0" fontId="4" fillId="4" borderId="0" xfId="0" applyFont="1" applyFill="1" applyAlignment="1"/>
    <xf numFmtId="0" fontId="6" fillId="0" borderId="0" xfId="0" applyFont="1" applyAlignment="1"/>
  </cellXfs>
  <cellStyles count="4">
    <cellStyle name="Normal" xfId="0" builtinId="0"/>
    <cellStyle name="Normal 14" xfId="3" xr:uid="{48F924AA-3D6D-42FD-A452-D5538AEBBE5C}"/>
    <cellStyle name="Normal 18" xfId="2" xr:uid="{E24BD1F3-74AF-4137-8F6F-ABF037AA2AC2}"/>
    <cellStyle name="Normal 2" xfId="1" xr:uid="{11FAF51C-E281-4423-A991-60BC9E8FB44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A29" sqref="A29"/>
    </sheetView>
  </sheetViews>
  <sheetFormatPr defaultRowHeight="14.45"/>
  <cols>
    <col min="1" max="1" width="40" customWidth="1"/>
    <col min="2" max="3" width="20" customWidth="1"/>
    <col min="4" max="4" width="35" customWidth="1"/>
    <col min="5" max="5" width="15" customWidth="1"/>
    <col min="6" max="8" width="20" customWidth="1"/>
  </cols>
  <sheetData>
    <row r="1" spans="1:8" ht="34.9" customHeight="1">
      <c r="A1" s="55" t="s">
        <v>0</v>
      </c>
      <c r="B1" s="57"/>
      <c r="C1" s="57"/>
      <c r="D1" s="57"/>
      <c r="E1" s="57"/>
      <c r="F1" s="57"/>
      <c r="G1" s="57"/>
      <c r="H1" s="57"/>
    </row>
    <row r="3" spans="1:8" ht="25.15" customHeight="1">
      <c r="A3" s="58" t="s">
        <v>1</v>
      </c>
      <c r="B3" s="57"/>
      <c r="C3" s="57"/>
      <c r="D3" s="57"/>
    </row>
    <row r="4" spans="1:8">
      <c r="A4" s="1" t="s">
        <v>2</v>
      </c>
      <c r="B4" s="7" t="e">
        <f>COUNTIFS(#REF!,"&gt;0")</f>
        <v>#REF!</v>
      </c>
    </row>
    <row r="5" spans="1:8">
      <c r="A5" s="1" t="s">
        <v>3</v>
      </c>
      <c r="B5" s="7" t="e">
        <f>COUNTIFS(#REF!,"=0",#REF!,"&lt;&gt;")</f>
        <v>#REF!</v>
      </c>
    </row>
    <row r="6" spans="1:8">
      <c r="A6" s="1" t="s">
        <v>4</v>
      </c>
      <c r="B6" s="8" t="e">
        <f>SUM(#REF!)</f>
        <v>#REF!</v>
      </c>
    </row>
    <row r="7" spans="1:8">
      <c r="A7" s="1" t="s">
        <v>5</v>
      </c>
      <c r="B7" s="8" t="e">
        <f>IF(B4&gt;0,B6/B4,0)</f>
        <v>#REF!</v>
      </c>
    </row>
    <row r="8" spans="1:8">
      <c r="A8" s="1" t="s">
        <v>6</v>
      </c>
      <c r="B8" s="7" t="e">
        <f>COUNTIFS(#REF!,"&gt;=1000000")</f>
        <v>#REF!</v>
      </c>
    </row>
    <row r="9" spans="1:8">
      <c r="A9" s="1" t="s">
        <v>7</v>
      </c>
      <c r="B9" s="9" t="e">
        <f>IF(B4&gt;0,COUNTIFS(#REF!,"&lt;=30")/B4,0)</f>
        <v>#REF!</v>
      </c>
    </row>
    <row r="10" spans="1:8">
      <c r="A10" s="1" t="s">
        <v>8</v>
      </c>
      <c r="B10" s="9" t="e">
        <f>IF(B4&gt;0,COUNTIFS(#REF!,"&lt;=6")/B4,0)</f>
        <v>#REF!</v>
      </c>
    </row>
    <row r="12" spans="1:8" ht="25.15" customHeight="1">
      <c r="A12" s="58" t="s">
        <v>9</v>
      </c>
      <c r="B12" s="57"/>
      <c r="C12" s="57"/>
      <c r="D12" s="57"/>
      <c r="E12" s="57"/>
    </row>
    <row r="13" spans="1:8">
      <c r="A13" s="1" t="s">
        <v>10</v>
      </c>
      <c r="B13" s="1" t="s">
        <v>11</v>
      </c>
      <c r="C13" s="1" t="s">
        <v>12</v>
      </c>
      <c r="D13" s="1" t="s">
        <v>13</v>
      </c>
    </row>
    <row r="14" spans="1:8">
      <c r="A14" t="s">
        <v>14</v>
      </c>
      <c r="B14" t="e">
        <f>COUNTIFS(#REF!,"&gt;90")</f>
        <v>#REF!</v>
      </c>
      <c r="C14" s="10" t="e">
        <f>IF(B4&gt;0,B14/B4,0)</f>
        <v>#REF!</v>
      </c>
      <c r="D14" t="s">
        <v>15</v>
      </c>
    </row>
    <row r="15" spans="1:8">
      <c r="A15" t="s">
        <v>16</v>
      </c>
      <c r="B15" t="e">
        <f>COUNTIFS(#REF!,"&gt;18")</f>
        <v>#REF!</v>
      </c>
      <c r="C15" s="10" t="e">
        <f>IF(B4&gt;0,B15/B4,0)</f>
        <v>#REF!</v>
      </c>
      <c r="D15" t="s">
        <v>17</v>
      </c>
    </row>
    <row r="16" spans="1:8">
      <c r="A16" t="s">
        <v>18</v>
      </c>
      <c r="B16" t="e">
        <f>COUNTIFS(#REF!,"&gt;=61",#REF!,"&lt;=90")</f>
        <v>#REF!</v>
      </c>
      <c r="C16" s="10" t="e">
        <f>IF(B4&gt;0,B16/B4,0)</f>
        <v>#REF!</v>
      </c>
      <c r="D16" t="s">
        <v>19</v>
      </c>
    </row>
    <row r="17" spans="1:8">
      <c r="A17" t="s">
        <v>20</v>
      </c>
      <c r="B17" t="e">
        <f>COUNTIFS(#REF!,"&gt;=13",#REF!,"&lt;=18")</f>
        <v>#REF!</v>
      </c>
      <c r="C17" s="10" t="e">
        <f>IF(B4&gt;0,B17/B4,0)</f>
        <v>#REF!</v>
      </c>
      <c r="D17" t="s">
        <v>21</v>
      </c>
    </row>
    <row r="19" spans="1:8" ht="18.600000000000001">
      <c r="A19" s="58" t="s">
        <v>22</v>
      </c>
      <c r="B19" s="57"/>
      <c r="C19" s="57"/>
      <c r="D19" s="57"/>
      <c r="E19" s="57"/>
      <c r="F19" s="57"/>
      <c r="G19" s="57"/>
      <c r="H19" s="57"/>
    </row>
    <row r="25" spans="1:8" ht="25.15" customHeight="1">
      <c r="A25" s="58" t="s">
        <v>23</v>
      </c>
      <c r="B25" s="57"/>
      <c r="C25" s="57"/>
      <c r="D25" s="57"/>
      <c r="E25" s="57"/>
      <c r="F25" s="57"/>
      <c r="G25" s="57"/>
      <c r="H25" s="57"/>
    </row>
    <row r="26" spans="1:8">
      <c r="A26" s="1" t="s">
        <v>24</v>
      </c>
      <c r="B26" s="1" t="s">
        <v>25</v>
      </c>
      <c r="C26" s="1" t="s">
        <v>26</v>
      </c>
      <c r="D26" s="1" t="s">
        <v>27</v>
      </c>
      <c r="E26" s="1" t="s">
        <v>28</v>
      </c>
      <c r="F26" s="1" t="s">
        <v>29</v>
      </c>
      <c r="G26" s="1" t="s">
        <v>30</v>
      </c>
    </row>
    <row r="27" spans="1:8">
      <c r="A27" t="str">
        <f>'Tabelas de Apoio'!E2</f>
        <v>Mariana</v>
      </c>
      <c r="B27" t="e">
        <f>COUNTIFS(#REF!,A27,#REF!,"&gt;0")</f>
        <v>#REF!</v>
      </c>
      <c r="C27" s="6" t="e">
        <f>SUMIFS(#REF!,#REF!,A27)</f>
        <v>#REF!</v>
      </c>
      <c r="D27" s="6" t="e">
        <f>IF(B27&gt;0,C27/B27,0)</f>
        <v>#REF!</v>
      </c>
      <c r="E27" t="e">
        <f ca="1">COUNTIFS(#REF!,A27,#REF!,"Visita presencial",#REF!,"&gt;="&amp;DATE(YEAR(TODAY()),MONTH(TODAY()),1))</f>
        <v>#REF!</v>
      </c>
      <c r="F27" t="e">
        <f>COUNTIFS(#REF!,A27,#REF!,"&gt;90")</f>
        <v>#REF!</v>
      </c>
      <c r="G27" s="10" t="e">
        <f>IF(B27&gt;0,F27/B27,0)</f>
        <v>#REF!</v>
      </c>
    </row>
    <row r="28" spans="1:8">
      <c r="A28" t="str">
        <f>'Tabelas de Apoio'!E3</f>
        <v>Lilian</v>
      </c>
      <c r="B28" t="e">
        <f>COUNTIFS(#REF!,A28,#REF!,"&gt;0")</f>
        <v>#REF!</v>
      </c>
      <c r="C28" s="6" t="e">
        <f>SUMIFS(#REF!,#REF!,A28)</f>
        <v>#REF!</v>
      </c>
      <c r="D28" s="6" t="e">
        <f>IF(B28&gt;0,C28/B28,0)</f>
        <v>#REF!</v>
      </c>
      <c r="E28" t="e">
        <f ca="1">COUNTIFS(#REF!,A28,#REF!,"Visita presencial",#REF!,"&gt;="&amp;DATE(YEAR(TODAY()),MONTH(TODAY()),1))</f>
        <v>#REF!</v>
      </c>
      <c r="F28" t="e">
        <f>COUNTIFS(#REF!,A28,#REF!,"&gt;90")</f>
        <v>#REF!</v>
      </c>
      <c r="G28" s="10" t="e">
        <f>IF(B28&gt;0,F28/B28,0)</f>
        <v>#REF!</v>
      </c>
    </row>
    <row r="29" spans="1:8">
      <c r="A29" t="str">
        <f>'Tabelas de Apoio'!E4</f>
        <v>Mauricio</v>
      </c>
      <c r="B29" t="e">
        <f>COUNTIFS(#REF!,A29,#REF!,"&gt;0")</f>
        <v>#REF!</v>
      </c>
      <c r="C29" s="6" t="e">
        <f>SUMIFS(#REF!,#REF!,A29)</f>
        <v>#REF!</v>
      </c>
      <c r="D29" s="6" t="e">
        <f>IF(B29&gt;0,C29/B29,0)</f>
        <v>#REF!</v>
      </c>
      <c r="E29" t="e">
        <f ca="1">COUNTIFS(#REF!,A29,#REF!,"Visita presencial",#REF!,"&gt;="&amp;DATE(YEAR(TODAY()),MONTH(TODAY()),1))</f>
        <v>#REF!</v>
      </c>
      <c r="F29" t="e">
        <f>COUNTIFS(#REF!,A29,#REF!,"&gt;90")</f>
        <v>#REF!</v>
      </c>
      <c r="G29" s="10" t="e">
        <f>IF(B29&gt;0,F29/B29,0)</f>
        <v>#REF!</v>
      </c>
    </row>
    <row r="32" spans="1:8" ht="25.15" customHeight="1">
      <c r="A32" s="58" t="s">
        <v>31</v>
      </c>
      <c r="B32" s="57"/>
      <c r="C32" s="57"/>
      <c r="D32" s="57"/>
      <c r="E32" s="57"/>
    </row>
    <row r="33" spans="1:8">
      <c r="A33" s="1" t="s">
        <v>32</v>
      </c>
      <c r="B33" s="1" t="s">
        <v>33</v>
      </c>
      <c r="C33" s="1" t="s">
        <v>34</v>
      </c>
      <c r="D33" s="1" t="s">
        <v>35</v>
      </c>
    </row>
    <row r="34" spans="1:8">
      <c r="A34" s="59" t="s">
        <v>36</v>
      </c>
      <c r="B34" s="57"/>
      <c r="C34" s="57"/>
      <c r="D34" s="57"/>
    </row>
    <row r="38" spans="1:8" ht="25.15" customHeight="1">
      <c r="A38" s="58" t="s">
        <v>37</v>
      </c>
      <c r="B38" s="57"/>
      <c r="C38" s="57"/>
      <c r="D38" s="57"/>
      <c r="E38" s="57"/>
      <c r="F38" s="57"/>
      <c r="G38" s="57"/>
      <c r="H38" s="57"/>
    </row>
    <row r="40" spans="1:8" ht="30" customHeight="1">
      <c r="A40" s="11" t="s">
        <v>38</v>
      </c>
      <c r="B40" s="56" t="e">
        <f>IF(B14+B16&gt;0,"ATENÇÃO: " &amp; TEXT((B14+B16)/B4,"0%") &amp; " da carteira está com gap de atendimento (&gt; 60 dias sem visita). Ação urgente: redistribuir carteira ou cobrar performance.","✅ Carteira em dia nas visitas!")</f>
        <v>#REF!</v>
      </c>
      <c r="C40" s="57"/>
      <c r="D40" s="57"/>
      <c r="E40" s="57"/>
      <c r="F40" s="57"/>
      <c r="G40" s="57"/>
      <c r="H40" s="57"/>
    </row>
    <row r="42" spans="1:8" ht="30" customHeight="1">
      <c r="A42" s="11" t="s">
        <v>39</v>
      </c>
      <c r="B42" s="56" t="e">
        <f>IF(B15&gt;0,TEXT(B15,"0") &amp; " clientes não compram há mais de 18 meses. Ação: verificar se migraram para concorrência e planejar ação de resgate.","✅ Nenhum cliente em risco crítico de churn!")</f>
        <v>#REF!</v>
      </c>
      <c r="C42" s="57"/>
      <c r="D42" s="57"/>
      <c r="E42" s="57"/>
      <c r="F42" s="57"/>
      <c r="G42" s="57"/>
      <c r="H42" s="57"/>
    </row>
    <row r="44" spans="1:8" ht="30" customHeight="1">
      <c r="A44" s="11" t="s">
        <v>40</v>
      </c>
      <c r="B44" s="56" t="s">
        <v>41</v>
      </c>
      <c r="C44" s="57"/>
      <c r="D44" s="57"/>
      <c r="E44" s="57"/>
      <c r="F44" s="57"/>
      <c r="G44" s="57"/>
      <c r="H44" s="57"/>
    </row>
    <row r="46" spans="1:8" ht="30" customHeight="1">
      <c r="A46" s="11" t="s">
        <v>42</v>
      </c>
      <c r="B46" s="56" t="e">
        <f>IF(B5&gt;0,TEXT(B5,"0") &amp; " prospects cadastrados. Ação: iniciar prospecção ativa e registrar interações.","Foco em manter clientes ativos!")</f>
        <v>#REF!</v>
      </c>
      <c r="C46" s="57"/>
      <c r="D46" s="57"/>
      <c r="E46" s="57"/>
      <c r="F46" s="57"/>
      <c r="G46" s="57"/>
      <c r="H46" s="57"/>
    </row>
    <row r="50" spans="1:8" ht="25.15" customHeight="1">
      <c r="A50" s="58" t="s">
        <v>22</v>
      </c>
      <c r="B50" s="57"/>
      <c r="C50" s="57"/>
      <c r="D50" s="57"/>
      <c r="E50" s="57"/>
      <c r="F50" s="57"/>
      <c r="G50" s="57"/>
      <c r="H50" s="57"/>
    </row>
    <row r="51" spans="1:8">
      <c r="A51" s="1" t="s">
        <v>43</v>
      </c>
      <c r="B51" s="1" t="s">
        <v>44</v>
      </c>
      <c r="C51" s="1" t="s">
        <v>26</v>
      </c>
      <c r="D51" s="1" t="s">
        <v>45</v>
      </c>
      <c r="E51" s="1" t="s">
        <v>46</v>
      </c>
      <c r="F51" s="1" t="s">
        <v>47</v>
      </c>
      <c r="G51" s="1" t="s">
        <v>48</v>
      </c>
      <c r="H51" s="1" t="s">
        <v>49</v>
      </c>
    </row>
    <row r="52" spans="1:8">
      <c r="A52" s="59" t="s">
        <v>50</v>
      </c>
      <c r="B52" s="57"/>
      <c r="C52" s="57"/>
      <c r="D52" s="57"/>
      <c r="E52" s="57"/>
      <c r="F52" s="57"/>
      <c r="G52" s="57"/>
      <c r="H52" s="57"/>
    </row>
  </sheetData>
  <mergeCells count="14">
    <mergeCell ref="A3:D3"/>
    <mergeCell ref="A52:H52"/>
    <mergeCell ref="A19:H19"/>
    <mergeCell ref="A32:E32"/>
    <mergeCell ref="A1:H1"/>
    <mergeCell ref="B46:H46"/>
    <mergeCell ref="A50:H50"/>
    <mergeCell ref="A12:E12"/>
    <mergeCell ref="B40:H40"/>
    <mergeCell ref="B42:H42"/>
    <mergeCell ref="A25:H25"/>
    <mergeCell ref="A34:D34"/>
    <mergeCell ref="A38:H38"/>
    <mergeCell ref="B44:H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5BD5-DC01-4C7A-A5A5-63F4C4DE366C}">
  <dimension ref="A1:A9"/>
  <sheetViews>
    <sheetView workbookViewId="0">
      <selection activeCell="A13" sqref="A13"/>
    </sheetView>
  </sheetViews>
  <sheetFormatPr defaultRowHeight="14.45"/>
  <cols>
    <col min="1" max="1" width="82.42578125" customWidth="1"/>
  </cols>
  <sheetData>
    <row r="1" spans="1:1">
      <c r="A1" s="52" t="s">
        <v>51</v>
      </c>
    </row>
    <row r="2" spans="1:1">
      <c r="A2" s="52" t="s">
        <v>52</v>
      </c>
    </row>
    <row r="3" spans="1:1">
      <c r="A3" s="13" t="s">
        <v>53</v>
      </c>
    </row>
    <row r="4" spans="1:1">
      <c r="A4" s="53" t="s">
        <v>54</v>
      </c>
    </row>
    <row r="5" spans="1:1">
      <c r="A5" s="53" t="s">
        <v>55</v>
      </c>
    </row>
    <row r="6" spans="1:1">
      <c r="A6" s="53" t="s">
        <v>56</v>
      </c>
    </row>
    <row r="7" spans="1:1">
      <c r="A7" s="52" t="s">
        <v>57</v>
      </c>
    </row>
    <row r="8" spans="1:1">
      <c r="A8" s="13" t="s">
        <v>58</v>
      </c>
    </row>
    <row r="9" spans="1:1">
      <c r="A9" s="13" t="s">
        <v>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tabSelected="1" workbookViewId="0">
      <selection activeCell="E6" sqref="E6"/>
    </sheetView>
  </sheetViews>
  <sheetFormatPr defaultRowHeight="14.45"/>
  <cols>
    <col min="1" max="1" width="40" customWidth="1"/>
    <col min="3" max="3" width="53.7109375" bestFit="1" customWidth="1"/>
    <col min="5" max="5" width="40" customWidth="1"/>
    <col min="7" max="7" width="40" customWidth="1"/>
    <col min="9" max="9" width="40" customWidth="1"/>
    <col min="11" max="11" width="40" customWidth="1"/>
    <col min="13" max="13" width="40" customWidth="1"/>
    <col min="15" max="15" width="40" customWidth="1"/>
    <col min="17" max="17" width="40" customWidth="1"/>
  </cols>
  <sheetData>
    <row r="1" spans="1:17">
      <c r="A1" s="2" t="s">
        <v>60</v>
      </c>
      <c r="C1" s="2" t="s">
        <v>61</v>
      </c>
      <c r="E1" s="2" t="s">
        <v>62</v>
      </c>
      <c r="G1" s="2" t="s">
        <v>63</v>
      </c>
      <c r="I1" s="2" t="s">
        <v>64</v>
      </c>
      <c r="K1" s="2" t="s">
        <v>65</v>
      </c>
      <c r="M1" s="2" t="s">
        <v>66</v>
      </c>
      <c r="O1" s="2" t="s">
        <v>67</v>
      </c>
      <c r="Q1" s="2" t="s">
        <v>68</v>
      </c>
    </row>
    <row r="2" spans="1:17">
      <c r="A2" s="3" t="s">
        <v>69</v>
      </c>
      <c r="C2" s="3" t="s">
        <v>70</v>
      </c>
      <c r="E2" s="3" t="s">
        <v>71</v>
      </c>
      <c r="G2" s="3" t="s">
        <v>72</v>
      </c>
      <c r="I2" s="3" t="s">
        <v>73</v>
      </c>
      <c r="K2" s="3" t="s">
        <v>74</v>
      </c>
      <c r="M2" s="3" t="s">
        <v>75</v>
      </c>
      <c r="O2" s="3" t="s">
        <v>44</v>
      </c>
      <c r="Q2" s="3" t="s">
        <v>76</v>
      </c>
    </row>
    <row r="3" spans="1:17">
      <c r="A3" s="3" t="s">
        <v>77</v>
      </c>
      <c r="C3" s="3" t="s">
        <v>78</v>
      </c>
      <c r="E3" s="3" t="s">
        <v>79</v>
      </c>
      <c r="G3" s="3" t="s">
        <v>80</v>
      </c>
      <c r="I3" s="3" t="s">
        <v>81</v>
      </c>
      <c r="K3" s="3" t="s">
        <v>82</v>
      </c>
      <c r="M3" s="3" t="s">
        <v>83</v>
      </c>
      <c r="O3" s="3" t="s">
        <v>84</v>
      </c>
      <c r="Q3" s="3" t="s">
        <v>85</v>
      </c>
    </row>
    <row r="4" spans="1:17">
      <c r="A4" s="3" t="s">
        <v>86</v>
      </c>
      <c r="C4" s="3" t="s">
        <v>87</v>
      </c>
      <c r="E4" s="3" t="s">
        <v>88</v>
      </c>
      <c r="G4" s="3" t="s">
        <v>89</v>
      </c>
      <c r="I4" s="3" t="s">
        <v>90</v>
      </c>
      <c r="K4" s="3" t="s">
        <v>91</v>
      </c>
      <c r="M4" s="3" t="s">
        <v>92</v>
      </c>
      <c r="O4" s="3" t="s">
        <v>93</v>
      </c>
      <c r="Q4" s="3" t="s">
        <v>94</v>
      </c>
    </row>
    <row r="5" spans="1:17">
      <c r="A5" s="3" t="s">
        <v>95</v>
      </c>
      <c r="C5" s="3" t="s">
        <v>96</v>
      </c>
      <c r="E5" s="3" t="s">
        <v>97</v>
      </c>
      <c r="G5" s="3" t="s">
        <v>98</v>
      </c>
      <c r="I5" s="3" t="s">
        <v>99</v>
      </c>
      <c r="K5" s="3" t="s">
        <v>100</v>
      </c>
      <c r="M5" s="3" t="s">
        <v>101</v>
      </c>
    </row>
    <row r="6" spans="1:17">
      <c r="A6" s="3" t="s">
        <v>102</v>
      </c>
      <c r="C6" s="3" t="s">
        <v>103</v>
      </c>
      <c r="G6" s="3" t="s">
        <v>104</v>
      </c>
      <c r="I6" s="3" t="s">
        <v>105</v>
      </c>
    </row>
    <row r="7" spans="1:17">
      <c r="A7" s="3" t="s">
        <v>106</v>
      </c>
      <c r="C7" s="3" t="s">
        <v>107</v>
      </c>
      <c r="G7" s="3" t="s">
        <v>108</v>
      </c>
      <c r="I7" s="3" t="s">
        <v>109</v>
      </c>
    </row>
    <row r="8" spans="1:17">
      <c r="A8" s="3" t="s">
        <v>110</v>
      </c>
      <c r="C8" s="3" t="s">
        <v>111</v>
      </c>
      <c r="G8" s="3" t="s">
        <v>112</v>
      </c>
    </row>
    <row r="9" spans="1:17">
      <c r="A9" s="3" t="s">
        <v>113</v>
      </c>
      <c r="C9" s="3" t="s">
        <v>114</v>
      </c>
      <c r="G9" s="3" t="s">
        <v>115</v>
      </c>
    </row>
    <row r="10" spans="1:17">
      <c r="A10" s="3" t="s">
        <v>116</v>
      </c>
      <c r="C10" s="3" t="s">
        <v>117</v>
      </c>
      <c r="G10" s="3" t="s">
        <v>118</v>
      </c>
    </row>
    <row r="11" spans="1:17">
      <c r="G11" s="3" t="s">
        <v>119</v>
      </c>
    </row>
    <row r="12" spans="1:17">
      <c r="G12" s="3" t="s">
        <v>120</v>
      </c>
    </row>
    <row r="13" spans="1:17">
      <c r="G13" s="3" t="s">
        <v>121</v>
      </c>
    </row>
    <row r="14" spans="1:17">
      <c r="G14" s="3" t="s">
        <v>122</v>
      </c>
    </row>
    <row r="15" spans="1:17">
      <c r="G15" s="3" t="s">
        <v>123</v>
      </c>
    </row>
    <row r="16" spans="1:17">
      <c r="G16" s="3" t="s">
        <v>124</v>
      </c>
    </row>
    <row r="17" spans="7:7">
      <c r="G17" s="3" t="s">
        <v>125</v>
      </c>
    </row>
    <row r="18" spans="7:7">
      <c r="G18" s="3" t="s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7"/>
  <sheetViews>
    <sheetView workbookViewId="0">
      <pane ySplit="1" topLeftCell="A164" activePane="bottomLeft" state="frozen"/>
      <selection pane="bottomLeft" activeCell="E171" sqref="E171"/>
    </sheetView>
  </sheetViews>
  <sheetFormatPr defaultRowHeight="14.45"/>
  <cols>
    <col min="1" max="1" width="64.28515625" bestFit="1" customWidth="1"/>
    <col min="2" max="2" width="25" customWidth="1"/>
    <col min="3" max="3" width="42.42578125" bestFit="1" customWidth="1"/>
    <col min="4" max="4" width="10" customWidth="1"/>
    <col min="5" max="5" width="25" customWidth="1"/>
    <col min="6" max="6" width="20" customWidth="1"/>
    <col min="7" max="7" width="18" customWidth="1"/>
    <col min="8" max="8" width="41.5703125" bestFit="1" customWidth="1"/>
    <col min="9" max="9" width="15" customWidth="1"/>
    <col min="10" max="10" width="18" customWidth="1"/>
    <col min="11" max="11" width="40" customWidth="1"/>
  </cols>
  <sheetData>
    <row r="1" spans="1:11">
      <c r="A1" s="4" t="s">
        <v>127</v>
      </c>
      <c r="B1" s="4" t="s">
        <v>128</v>
      </c>
      <c r="C1" s="4" t="s">
        <v>129</v>
      </c>
      <c r="D1" s="4" t="s">
        <v>130</v>
      </c>
      <c r="E1" s="4" t="s">
        <v>131</v>
      </c>
      <c r="F1" s="4" t="s">
        <v>132</v>
      </c>
      <c r="G1" s="4" t="s">
        <v>133</v>
      </c>
      <c r="H1" s="4" t="s">
        <v>134</v>
      </c>
      <c r="I1" s="4" t="s">
        <v>135</v>
      </c>
      <c r="J1" s="4" t="s">
        <v>136</v>
      </c>
      <c r="K1" s="4" t="s">
        <v>137</v>
      </c>
    </row>
    <row r="2" spans="1:11">
      <c r="A2" t="s">
        <v>138</v>
      </c>
      <c r="B2" t="s">
        <v>84</v>
      </c>
      <c r="C2" t="s">
        <v>113</v>
      </c>
      <c r="D2" t="s">
        <v>72</v>
      </c>
      <c r="E2" t="s">
        <v>139</v>
      </c>
      <c r="F2" t="s">
        <v>140</v>
      </c>
      <c r="G2" t="s">
        <v>141</v>
      </c>
      <c r="I2" t="s">
        <v>76</v>
      </c>
      <c r="J2" s="12"/>
    </row>
    <row r="3" spans="1:11">
      <c r="A3" t="s">
        <v>142</v>
      </c>
      <c r="B3" t="s">
        <v>84</v>
      </c>
      <c r="C3" t="s">
        <v>69</v>
      </c>
      <c r="D3" t="s">
        <v>72</v>
      </c>
      <c r="E3" t="s">
        <v>143</v>
      </c>
      <c r="F3" t="s">
        <v>144</v>
      </c>
      <c r="G3" t="s">
        <v>145</v>
      </c>
      <c r="I3" t="s">
        <v>76</v>
      </c>
      <c r="J3" s="12"/>
    </row>
    <row r="4" spans="1:11">
      <c r="A4" t="s">
        <v>146</v>
      </c>
      <c r="B4" t="s">
        <v>84</v>
      </c>
      <c r="C4" t="s">
        <v>102</v>
      </c>
      <c r="D4" t="s">
        <v>72</v>
      </c>
      <c r="E4" t="s">
        <v>147</v>
      </c>
      <c r="F4" t="s">
        <v>148</v>
      </c>
      <c r="G4" t="s">
        <v>149</v>
      </c>
      <c r="I4" t="s">
        <v>76</v>
      </c>
      <c r="J4" s="12"/>
    </row>
    <row r="5" spans="1:11">
      <c r="A5" t="s">
        <v>150</v>
      </c>
      <c r="B5" t="s">
        <v>44</v>
      </c>
      <c r="C5" t="s">
        <v>95</v>
      </c>
      <c r="D5" t="s">
        <v>72</v>
      </c>
      <c r="E5" t="s">
        <v>147</v>
      </c>
      <c r="F5" t="s">
        <v>151</v>
      </c>
      <c r="G5" t="s">
        <v>152</v>
      </c>
      <c r="I5" t="s">
        <v>76</v>
      </c>
      <c r="J5" s="12"/>
    </row>
    <row r="6" spans="1:11">
      <c r="A6" t="s">
        <v>153</v>
      </c>
      <c r="B6" t="s">
        <v>84</v>
      </c>
      <c r="C6" t="s">
        <v>102</v>
      </c>
      <c r="D6" t="s">
        <v>72</v>
      </c>
      <c r="E6" t="s">
        <v>147</v>
      </c>
      <c r="F6" t="s">
        <v>154</v>
      </c>
      <c r="G6" t="s">
        <v>155</v>
      </c>
      <c r="I6" t="s">
        <v>76</v>
      </c>
      <c r="J6" s="12"/>
    </row>
    <row r="7" spans="1:11">
      <c r="A7" t="s">
        <v>156</v>
      </c>
      <c r="B7" t="s">
        <v>44</v>
      </c>
      <c r="C7" t="s">
        <v>86</v>
      </c>
      <c r="D7" t="s">
        <v>72</v>
      </c>
      <c r="E7" t="s">
        <v>139</v>
      </c>
      <c r="F7" t="s">
        <v>157</v>
      </c>
      <c r="G7" t="s">
        <v>158</v>
      </c>
      <c r="I7" t="s">
        <v>76</v>
      </c>
      <c r="J7" s="12"/>
    </row>
    <row r="8" spans="1:11">
      <c r="A8" t="s">
        <v>159</v>
      </c>
      <c r="B8" t="s">
        <v>44</v>
      </c>
      <c r="C8" t="s">
        <v>77</v>
      </c>
      <c r="D8" t="s">
        <v>72</v>
      </c>
      <c r="E8" t="s">
        <v>147</v>
      </c>
      <c r="F8" t="s">
        <v>160</v>
      </c>
      <c r="G8" t="s">
        <v>161</v>
      </c>
      <c r="I8" t="s">
        <v>76</v>
      </c>
      <c r="J8" s="12"/>
    </row>
    <row r="9" spans="1:11">
      <c r="A9" t="s">
        <v>162</v>
      </c>
      <c r="B9" t="s">
        <v>84</v>
      </c>
      <c r="C9" t="s">
        <v>106</v>
      </c>
      <c r="D9" t="s">
        <v>98</v>
      </c>
      <c r="E9" t="s">
        <v>163</v>
      </c>
      <c r="F9" t="s">
        <v>164</v>
      </c>
      <c r="G9" t="s">
        <v>165</v>
      </c>
      <c r="I9" t="s">
        <v>76</v>
      </c>
      <c r="J9" s="12"/>
    </row>
    <row r="10" spans="1:11">
      <c r="A10" t="s">
        <v>166</v>
      </c>
      <c r="B10" t="s">
        <v>84</v>
      </c>
      <c r="C10" t="s">
        <v>110</v>
      </c>
      <c r="D10" t="s">
        <v>104</v>
      </c>
      <c r="E10" t="s">
        <v>167</v>
      </c>
      <c r="F10" t="s">
        <v>168</v>
      </c>
      <c r="G10" t="s">
        <v>169</v>
      </c>
      <c r="I10" t="s">
        <v>76</v>
      </c>
      <c r="J10" s="12"/>
    </row>
    <row r="11" spans="1:11">
      <c r="A11" t="s">
        <v>170</v>
      </c>
      <c r="B11" t="s">
        <v>84</v>
      </c>
      <c r="C11" t="s">
        <v>95</v>
      </c>
      <c r="D11" t="s">
        <v>72</v>
      </c>
      <c r="E11" t="s">
        <v>147</v>
      </c>
      <c r="F11" t="s">
        <v>171</v>
      </c>
      <c r="G11" t="s">
        <v>172</v>
      </c>
      <c r="I11" t="s">
        <v>76</v>
      </c>
      <c r="J11" s="12"/>
    </row>
    <row r="12" spans="1:11">
      <c r="A12" t="s">
        <v>173</v>
      </c>
      <c r="B12" t="s">
        <v>84</v>
      </c>
      <c r="C12" t="s">
        <v>102</v>
      </c>
      <c r="D12" t="s">
        <v>72</v>
      </c>
      <c r="E12" t="s">
        <v>174</v>
      </c>
      <c r="F12" t="s">
        <v>175</v>
      </c>
      <c r="G12" t="s">
        <v>176</v>
      </c>
      <c r="H12" t="s">
        <v>177</v>
      </c>
      <c r="I12" t="s">
        <v>76</v>
      </c>
    </row>
    <row r="13" spans="1:11">
      <c r="A13" t="s">
        <v>178</v>
      </c>
      <c r="B13" t="s">
        <v>84</v>
      </c>
      <c r="C13" t="s">
        <v>69</v>
      </c>
      <c r="D13" t="s">
        <v>108</v>
      </c>
      <c r="E13" t="s">
        <v>179</v>
      </c>
      <c r="F13" t="s">
        <v>180</v>
      </c>
      <c r="G13" t="s">
        <v>181</v>
      </c>
      <c r="H13" t="s">
        <v>182</v>
      </c>
      <c r="I13" t="s">
        <v>76</v>
      </c>
    </row>
    <row r="14" spans="1:11">
      <c r="A14" t="s">
        <v>183</v>
      </c>
      <c r="B14" t="s">
        <v>44</v>
      </c>
      <c r="C14" t="s">
        <v>116</v>
      </c>
      <c r="D14" t="s">
        <v>72</v>
      </c>
      <c r="E14" t="s">
        <v>184</v>
      </c>
      <c r="F14" t="s">
        <v>185</v>
      </c>
      <c r="G14" t="s">
        <v>186</v>
      </c>
      <c r="H14" s="14" t="s">
        <v>187</v>
      </c>
      <c r="I14" t="s">
        <v>76</v>
      </c>
    </row>
    <row r="15" spans="1:11">
      <c r="A15" t="s">
        <v>183</v>
      </c>
      <c r="B15" t="s">
        <v>44</v>
      </c>
      <c r="C15" t="s">
        <v>116</v>
      </c>
      <c r="D15" t="s">
        <v>72</v>
      </c>
      <c r="E15" t="s">
        <v>188</v>
      </c>
      <c r="F15" t="s">
        <v>189</v>
      </c>
      <c r="G15" t="s">
        <v>190</v>
      </c>
      <c r="H15" s="14" t="s">
        <v>191</v>
      </c>
      <c r="I15" t="s">
        <v>76</v>
      </c>
    </row>
    <row r="16" spans="1:11">
      <c r="A16" t="s">
        <v>183</v>
      </c>
      <c r="B16" t="s">
        <v>44</v>
      </c>
      <c r="C16" t="s">
        <v>116</v>
      </c>
      <c r="D16" t="s">
        <v>72</v>
      </c>
      <c r="E16" t="s">
        <v>192</v>
      </c>
      <c r="F16" t="s">
        <v>193</v>
      </c>
      <c r="G16" t="s">
        <v>194</v>
      </c>
      <c r="H16" s="14" t="s">
        <v>195</v>
      </c>
      <c r="I16" t="s">
        <v>76</v>
      </c>
    </row>
    <row r="17" spans="1:9">
      <c r="A17" t="s">
        <v>196</v>
      </c>
      <c r="B17" t="s">
        <v>84</v>
      </c>
      <c r="C17" t="s">
        <v>69</v>
      </c>
      <c r="D17" t="s">
        <v>72</v>
      </c>
      <c r="E17" t="s">
        <v>197</v>
      </c>
      <c r="F17" t="s">
        <v>198</v>
      </c>
      <c r="G17" t="s">
        <v>199</v>
      </c>
      <c r="H17" t="s">
        <v>200</v>
      </c>
      <c r="I17" t="s">
        <v>76</v>
      </c>
    </row>
    <row r="18" spans="1:9">
      <c r="A18" t="s">
        <v>201</v>
      </c>
      <c r="B18" t="s">
        <v>44</v>
      </c>
      <c r="C18" t="s">
        <v>77</v>
      </c>
      <c r="D18" t="s">
        <v>72</v>
      </c>
      <c r="E18" t="s">
        <v>202</v>
      </c>
      <c r="F18" t="s">
        <v>203</v>
      </c>
      <c r="G18" t="s">
        <v>204</v>
      </c>
      <c r="H18" t="s">
        <v>205</v>
      </c>
      <c r="I18" t="s">
        <v>76</v>
      </c>
    </row>
    <row r="19" spans="1:9">
      <c r="A19" t="s">
        <v>206</v>
      </c>
      <c r="B19" t="s">
        <v>84</v>
      </c>
      <c r="C19" t="s">
        <v>95</v>
      </c>
      <c r="D19" t="s">
        <v>72</v>
      </c>
      <c r="E19" t="s">
        <v>207</v>
      </c>
      <c r="F19" t="s">
        <v>208</v>
      </c>
      <c r="G19" t="s">
        <v>209</v>
      </c>
      <c r="H19" t="s">
        <v>210</v>
      </c>
      <c r="I19" t="s">
        <v>76</v>
      </c>
    </row>
    <row r="20" spans="1:9">
      <c r="A20" t="s">
        <v>211</v>
      </c>
      <c r="B20" t="s">
        <v>84</v>
      </c>
      <c r="C20" t="s">
        <v>86</v>
      </c>
      <c r="D20" t="s">
        <v>89</v>
      </c>
      <c r="E20" t="s">
        <v>212</v>
      </c>
      <c r="F20" t="s">
        <v>213</v>
      </c>
      <c r="G20" t="s">
        <v>214</v>
      </c>
      <c r="H20" t="s">
        <v>215</v>
      </c>
      <c r="I20" t="s">
        <v>76</v>
      </c>
    </row>
    <row r="21" spans="1:9">
      <c r="A21" t="s">
        <v>216</v>
      </c>
      <c r="B21" t="s">
        <v>84</v>
      </c>
      <c r="C21" t="s">
        <v>116</v>
      </c>
      <c r="D21" t="s">
        <v>72</v>
      </c>
      <c r="E21" t="s">
        <v>217</v>
      </c>
      <c r="F21" t="s">
        <v>218</v>
      </c>
      <c r="G21" t="s">
        <v>219</v>
      </c>
      <c r="H21" t="s">
        <v>220</v>
      </c>
      <c r="I21" t="s">
        <v>76</v>
      </c>
    </row>
    <row r="22" spans="1:9">
      <c r="A22" t="s">
        <v>221</v>
      </c>
      <c r="B22" t="s">
        <v>84</v>
      </c>
      <c r="C22" t="s">
        <v>69</v>
      </c>
      <c r="D22" t="s">
        <v>118</v>
      </c>
      <c r="E22" t="s">
        <v>222</v>
      </c>
      <c r="F22" t="s">
        <v>223</v>
      </c>
      <c r="G22" t="s">
        <v>224</v>
      </c>
      <c r="H22" t="s">
        <v>225</v>
      </c>
      <c r="I22" t="s">
        <v>76</v>
      </c>
    </row>
    <row r="23" spans="1:9">
      <c r="A23" t="s">
        <v>226</v>
      </c>
      <c r="B23" t="s">
        <v>84</v>
      </c>
      <c r="C23" t="s">
        <v>69</v>
      </c>
      <c r="D23" t="s">
        <v>80</v>
      </c>
      <c r="E23" t="s">
        <v>227</v>
      </c>
      <c r="F23" t="s">
        <v>228</v>
      </c>
      <c r="G23" t="s">
        <v>229</v>
      </c>
      <c r="H23" t="s">
        <v>230</v>
      </c>
      <c r="I23" t="s">
        <v>76</v>
      </c>
    </row>
    <row r="24" spans="1:9">
      <c r="A24" t="s">
        <v>231</v>
      </c>
      <c r="B24" t="s">
        <v>44</v>
      </c>
      <c r="C24" t="s">
        <v>69</v>
      </c>
      <c r="D24" t="s">
        <v>72</v>
      </c>
      <c r="E24" t="s">
        <v>232</v>
      </c>
      <c r="F24" t="s">
        <v>233</v>
      </c>
      <c r="G24" t="s">
        <v>234</v>
      </c>
      <c r="H24" t="s">
        <v>235</v>
      </c>
      <c r="I24" t="s">
        <v>76</v>
      </c>
    </row>
    <row r="25" spans="1:9">
      <c r="A25" t="s">
        <v>236</v>
      </c>
      <c r="B25" t="s">
        <v>84</v>
      </c>
      <c r="C25" t="s">
        <v>69</v>
      </c>
      <c r="D25" t="s">
        <v>89</v>
      </c>
      <c r="E25" t="s">
        <v>237</v>
      </c>
      <c r="F25" t="s">
        <v>238</v>
      </c>
      <c r="G25" t="s">
        <v>239</v>
      </c>
      <c r="I25" t="s">
        <v>76</v>
      </c>
    </row>
    <row r="26" spans="1:9">
      <c r="A26" t="s">
        <v>240</v>
      </c>
      <c r="B26" t="s">
        <v>44</v>
      </c>
      <c r="C26" t="s">
        <v>69</v>
      </c>
      <c r="D26" t="s">
        <v>72</v>
      </c>
      <c r="E26" t="s">
        <v>241</v>
      </c>
      <c r="F26" t="s">
        <v>242</v>
      </c>
      <c r="G26" t="s">
        <v>243</v>
      </c>
      <c r="H26" t="s">
        <v>244</v>
      </c>
      <c r="I26" t="s">
        <v>76</v>
      </c>
    </row>
    <row r="27" spans="1:9">
      <c r="A27" t="s">
        <v>245</v>
      </c>
      <c r="B27" t="s">
        <v>84</v>
      </c>
      <c r="C27" t="s">
        <v>102</v>
      </c>
      <c r="D27" t="s">
        <v>72</v>
      </c>
      <c r="E27" t="s">
        <v>246</v>
      </c>
      <c r="F27" t="s">
        <v>247</v>
      </c>
      <c r="G27" t="s">
        <v>248</v>
      </c>
      <c r="H27" t="s">
        <v>249</v>
      </c>
      <c r="I27" t="s">
        <v>76</v>
      </c>
    </row>
    <row r="28" spans="1:9">
      <c r="A28" t="s">
        <v>250</v>
      </c>
      <c r="B28" t="s">
        <v>44</v>
      </c>
      <c r="C28" t="s">
        <v>106</v>
      </c>
      <c r="D28" t="s">
        <v>72</v>
      </c>
      <c r="E28" t="s">
        <v>232</v>
      </c>
      <c r="F28" t="s">
        <v>251</v>
      </c>
      <c r="G28" t="s">
        <v>252</v>
      </c>
      <c r="I28" t="s">
        <v>76</v>
      </c>
    </row>
    <row r="29" spans="1:9">
      <c r="A29" t="s">
        <v>253</v>
      </c>
      <c r="B29" t="s">
        <v>84</v>
      </c>
      <c r="C29" t="s">
        <v>110</v>
      </c>
      <c r="D29" t="s">
        <v>72</v>
      </c>
      <c r="E29" t="s">
        <v>254</v>
      </c>
      <c r="F29" t="s">
        <v>255</v>
      </c>
      <c r="G29" t="s">
        <v>256</v>
      </c>
      <c r="H29" t="s">
        <v>257</v>
      </c>
      <c r="I29" t="s">
        <v>76</v>
      </c>
    </row>
    <row r="30" spans="1:9">
      <c r="A30" t="s">
        <v>258</v>
      </c>
      <c r="B30" t="s">
        <v>84</v>
      </c>
      <c r="C30" t="s">
        <v>86</v>
      </c>
      <c r="D30" t="s">
        <v>104</v>
      </c>
      <c r="E30" t="s">
        <v>167</v>
      </c>
      <c r="F30" t="s">
        <v>259</v>
      </c>
      <c r="G30" t="s">
        <v>260</v>
      </c>
      <c r="H30" t="s">
        <v>261</v>
      </c>
      <c r="I30" t="s">
        <v>76</v>
      </c>
    </row>
    <row r="31" spans="1:9">
      <c r="A31" t="s">
        <v>262</v>
      </c>
      <c r="B31" t="s">
        <v>44</v>
      </c>
      <c r="C31" t="s">
        <v>110</v>
      </c>
      <c r="D31" t="s">
        <v>72</v>
      </c>
      <c r="E31" t="s">
        <v>147</v>
      </c>
      <c r="F31" t="s">
        <v>263</v>
      </c>
      <c r="G31" t="s">
        <v>264</v>
      </c>
      <c r="H31" t="s">
        <v>265</v>
      </c>
      <c r="I31" t="s">
        <v>76</v>
      </c>
    </row>
    <row r="32" spans="1:9">
      <c r="A32" t="s">
        <v>266</v>
      </c>
      <c r="B32" t="s">
        <v>84</v>
      </c>
      <c r="C32" t="s">
        <v>86</v>
      </c>
      <c r="D32" t="s">
        <v>72</v>
      </c>
      <c r="E32" t="s">
        <v>217</v>
      </c>
      <c r="F32" t="s">
        <v>267</v>
      </c>
      <c r="G32" t="s">
        <v>268</v>
      </c>
      <c r="H32" t="s">
        <v>269</v>
      </c>
      <c r="I32" t="s">
        <v>76</v>
      </c>
    </row>
    <row r="33" spans="1:9">
      <c r="A33" t="s">
        <v>270</v>
      </c>
      <c r="B33" t="s">
        <v>84</v>
      </c>
      <c r="C33" t="s">
        <v>116</v>
      </c>
      <c r="D33" t="s">
        <v>72</v>
      </c>
      <c r="E33" t="s">
        <v>217</v>
      </c>
      <c r="F33" t="s">
        <v>271</v>
      </c>
      <c r="G33" t="s">
        <v>272</v>
      </c>
      <c r="I33" t="s">
        <v>76</v>
      </c>
    </row>
    <row r="34" spans="1:9">
      <c r="A34" t="s">
        <v>273</v>
      </c>
      <c r="B34" t="s">
        <v>84</v>
      </c>
      <c r="C34" t="s">
        <v>86</v>
      </c>
      <c r="D34" t="s">
        <v>72</v>
      </c>
      <c r="E34" t="s">
        <v>274</v>
      </c>
      <c r="F34" t="s">
        <v>275</v>
      </c>
      <c r="G34" t="s">
        <v>276</v>
      </c>
      <c r="H34" t="s">
        <v>277</v>
      </c>
      <c r="I34" t="s">
        <v>76</v>
      </c>
    </row>
    <row r="35" spans="1:9">
      <c r="A35" t="s">
        <v>278</v>
      </c>
      <c r="B35" t="s">
        <v>84</v>
      </c>
      <c r="C35" t="s">
        <v>106</v>
      </c>
      <c r="D35" t="s">
        <v>72</v>
      </c>
      <c r="E35" t="s">
        <v>279</v>
      </c>
      <c r="F35" t="s">
        <v>280</v>
      </c>
      <c r="G35" t="s">
        <v>281</v>
      </c>
      <c r="I35" t="s">
        <v>76</v>
      </c>
    </row>
    <row r="36" spans="1:9">
      <c r="A36" t="s">
        <v>282</v>
      </c>
      <c r="B36" t="s">
        <v>84</v>
      </c>
      <c r="C36" t="s">
        <v>77</v>
      </c>
      <c r="D36" t="s">
        <v>98</v>
      </c>
      <c r="E36" t="s">
        <v>283</v>
      </c>
      <c r="F36" t="s">
        <v>284</v>
      </c>
      <c r="G36" t="s">
        <v>285</v>
      </c>
      <c r="I36" t="s">
        <v>76</v>
      </c>
    </row>
    <row r="37" spans="1:9">
      <c r="A37" t="s">
        <v>286</v>
      </c>
      <c r="B37" t="s">
        <v>84</v>
      </c>
      <c r="C37" t="s">
        <v>102</v>
      </c>
      <c r="D37" t="s">
        <v>72</v>
      </c>
      <c r="E37" t="s">
        <v>287</v>
      </c>
      <c r="F37" t="s">
        <v>288</v>
      </c>
      <c r="G37" t="s">
        <v>289</v>
      </c>
      <c r="I37" t="s">
        <v>76</v>
      </c>
    </row>
    <row r="38" spans="1:9">
      <c r="A38" t="s">
        <v>290</v>
      </c>
      <c r="B38" t="s">
        <v>84</v>
      </c>
      <c r="C38" t="s">
        <v>110</v>
      </c>
      <c r="D38" t="s">
        <v>72</v>
      </c>
      <c r="E38" t="s">
        <v>291</v>
      </c>
      <c r="F38" t="s">
        <v>292</v>
      </c>
      <c r="G38" t="s">
        <v>293</v>
      </c>
      <c r="I38" t="s">
        <v>76</v>
      </c>
    </row>
    <row r="39" spans="1:9">
      <c r="A39" t="s">
        <v>294</v>
      </c>
      <c r="B39" t="s">
        <v>84</v>
      </c>
      <c r="C39" t="s">
        <v>106</v>
      </c>
      <c r="D39" t="s">
        <v>112</v>
      </c>
      <c r="E39" t="s">
        <v>295</v>
      </c>
      <c r="F39" t="s">
        <v>296</v>
      </c>
      <c r="G39" t="s">
        <v>297</v>
      </c>
      <c r="H39" t="s">
        <v>298</v>
      </c>
      <c r="I39" t="s">
        <v>76</v>
      </c>
    </row>
    <row r="40" spans="1:9">
      <c r="A40" t="s">
        <v>299</v>
      </c>
      <c r="B40" t="s">
        <v>84</v>
      </c>
      <c r="C40" t="s">
        <v>95</v>
      </c>
      <c r="D40" t="s">
        <v>72</v>
      </c>
      <c r="E40" t="s">
        <v>217</v>
      </c>
      <c r="F40" t="s">
        <v>300</v>
      </c>
      <c r="G40" t="s">
        <v>301</v>
      </c>
      <c r="I40" t="s">
        <v>76</v>
      </c>
    </row>
    <row r="41" spans="1:9">
      <c r="A41" t="s">
        <v>302</v>
      </c>
      <c r="B41" t="s">
        <v>84</v>
      </c>
      <c r="C41" t="s">
        <v>102</v>
      </c>
      <c r="D41" t="s">
        <v>72</v>
      </c>
      <c r="E41" t="s">
        <v>303</v>
      </c>
      <c r="F41" t="s">
        <v>304</v>
      </c>
      <c r="G41" t="s">
        <v>305</v>
      </c>
      <c r="I41" t="s">
        <v>76</v>
      </c>
    </row>
    <row r="42" spans="1:9">
      <c r="A42" t="s">
        <v>306</v>
      </c>
      <c r="B42" t="s">
        <v>44</v>
      </c>
      <c r="C42" t="s">
        <v>69</v>
      </c>
      <c r="D42" t="s">
        <v>72</v>
      </c>
      <c r="E42" t="s">
        <v>287</v>
      </c>
      <c r="F42" t="s">
        <v>307</v>
      </c>
      <c r="G42" t="s">
        <v>308</v>
      </c>
      <c r="H42" t="s">
        <v>309</v>
      </c>
      <c r="I42" t="s">
        <v>76</v>
      </c>
    </row>
    <row r="43" spans="1:9">
      <c r="A43" t="s">
        <v>310</v>
      </c>
      <c r="B43" t="s">
        <v>84</v>
      </c>
      <c r="C43" t="s">
        <v>77</v>
      </c>
      <c r="D43" t="s">
        <v>98</v>
      </c>
      <c r="E43" t="s">
        <v>163</v>
      </c>
      <c r="F43" t="s">
        <v>311</v>
      </c>
      <c r="G43" t="s">
        <v>312</v>
      </c>
      <c r="I43" t="s">
        <v>76</v>
      </c>
    </row>
    <row r="44" spans="1:9">
      <c r="A44" t="s">
        <v>313</v>
      </c>
      <c r="B44" t="s">
        <v>84</v>
      </c>
      <c r="C44" t="s">
        <v>95</v>
      </c>
      <c r="D44" t="s">
        <v>115</v>
      </c>
      <c r="E44" t="s">
        <v>314</v>
      </c>
      <c r="F44" t="s">
        <v>315</v>
      </c>
      <c r="G44" t="s">
        <v>316</v>
      </c>
      <c r="I44" t="s">
        <v>76</v>
      </c>
    </row>
    <row r="45" spans="1:9">
      <c r="A45" t="s">
        <v>317</v>
      </c>
      <c r="B45" t="s">
        <v>84</v>
      </c>
      <c r="C45" t="s">
        <v>116</v>
      </c>
      <c r="D45" t="s">
        <v>72</v>
      </c>
      <c r="E45" t="s">
        <v>147</v>
      </c>
      <c r="F45" t="s">
        <v>318</v>
      </c>
      <c r="I45" t="s">
        <v>76</v>
      </c>
    </row>
    <row r="46" spans="1:9">
      <c r="A46" t="s">
        <v>319</v>
      </c>
      <c r="B46" t="s">
        <v>84</v>
      </c>
      <c r="C46" t="s">
        <v>77</v>
      </c>
      <c r="D46" t="s">
        <v>72</v>
      </c>
      <c r="E46" t="s">
        <v>147</v>
      </c>
      <c r="F46" t="s">
        <v>320</v>
      </c>
      <c r="G46" t="s">
        <v>321</v>
      </c>
      <c r="H46" t="s">
        <v>322</v>
      </c>
      <c r="I46" t="s">
        <v>76</v>
      </c>
    </row>
    <row r="47" spans="1:9">
      <c r="A47" t="s">
        <v>323</v>
      </c>
      <c r="B47" t="s">
        <v>84</v>
      </c>
      <c r="C47" t="s">
        <v>116</v>
      </c>
      <c r="D47" t="s">
        <v>72</v>
      </c>
      <c r="E47" t="s">
        <v>232</v>
      </c>
      <c r="F47" t="s">
        <v>324</v>
      </c>
      <c r="G47" t="s">
        <v>325</v>
      </c>
      <c r="H47" t="s">
        <v>326</v>
      </c>
      <c r="I47" t="s">
        <v>76</v>
      </c>
    </row>
    <row r="48" spans="1:9">
      <c r="A48" t="s">
        <v>327</v>
      </c>
      <c r="B48" t="s">
        <v>44</v>
      </c>
      <c r="C48" t="s">
        <v>69</v>
      </c>
      <c r="D48" t="s">
        <v>72</v>
      </c>
      <c r="E48" t="s">
        <v>217</v>
      </c>
      <c r="F48" t="s">
        <v>328</v>
      </c>
      <c r="G48" t="s">
        <v>329</v>
      </c>
      <c r="H48" t="s">
        <v>330</v>
      </c>
      <c r="I48" t="s">
        <v>76</v>
      </c>
    </row>
    <row r="49" spans="1:9">
      <c r="A49" t="s">
        <v>331</v>
      </c>
      <c r="B49" t="s">
        <v>84</v>
      </c>
      <c r="C49" t="s">
        <v>116</v>
      </c>
      <c r="D49" t="s">
        <v>72</v>
      </c>
      <c r="E49" t="s">
        <v>332</v>
      </c>
      <c r="F49" t="s">
        <v>333</v>
      </c>
      <c r="G49" t="s">
        <v>334</v>
      </c>
      <c r="H49" t="s">
        <v>335</v>
      </c>
      <c r="I49" t="s">
        <v>76</v>
      </c>
    </row>
    <row r="50" spans="1:9">
      <c r="A50" t="s">
        <v>336</v>
      </c>
      <c r="B50" t="s">
        <v>44</v>
      </c>
      <c r="C50" t="s">
        <v>69</v>
      </c>
      <c r="D50" t="s">
        <v>72</v>
      </c>
      <c r="E50" t="s">
        <v>337</v>
      </c>
      <c r="F50" t="s">
        <v>338</v>
      </c>
      <c r="G50" t="s">
        <v>339</v>
      </c>
      <c r="H50" t="s">
        <v>340</v>
      </c>
      <c r="I50" t="s">
        <v>76</v>
      </c>
    </row>
    <row r="51" spans="1:9">
      <c r="A51" t="s">
        <v>341</v>
      </c>
      <c r="B51" t="s">
        <v>44</v>
      </c>
      <c r="C51" t="s">
        <v>69</v>
      </c>
      <c r="D51" t="s">
        <v>80</v>
      </c>
      <c r="E51" t="s">
        <v>342</v>
      </c>
      <c r="F51" t="s">
        <v>343</v>
      </c>
      <c r="G51" t="s">
        <v>344</v>
      </c>
      <c r="H51" t="s">
        <v>345</v>
      </c>
      <c r="I51" t="s">
        <v>76</v>
      </c>
    </row>
    <row r="52" spans="1:9">
      <c r="A52" t="s">
        <v>346</v>
      </c>
      <c r="B52" t="s">
        <v>84</v>
      </c>
      <c r="C52" t="s">
        <v>86</v>
      </c>
      <c r="D52" t="s">
        <v>80</v>
      </c>
      <c r="E52" t="s">
        <v>347</v>
      </c>
      <c r="F52" t="s">
        <v>348</v>
      </c>
      <c r="G52" t="s">
        <v>349</v>
      </c>
      <c r="H52" t="s">
        <v>350</v>
      </c>
      <c r="I52" t="s">
        <v>76</v>
      </c>
    </row>
    <row r="53" spans="1:9">
      <c r="A53" t="s">
        <v>351</v>
      </c>
      <c r="B53" t="s">
        <v>44</v>
      </c>
      <c r="C53" t="s">
        <v>110</v>
      </c>
      <c r="D53" t="s">
        <v>72</v>
      </c>
      <c r="E53" t="s">
        <v>352</v>
      </c>
      <c r="F53" t="s">
        <v>353</v>
      </c>
      <c r="G53" t="s">
        <v>354</v>
      </c>
      <c r="H53" t="s">
        <v>355</v>
      </c>
      <c r="I53" t="s">
        <v>76</v>
      </c>
    </row>
    <row r="54" spans="1:9">
      <c r="A54" t="s">
        <v>356</v>
      </c>
      <c r="B54" t="s">
        <v>84</v>
      </c>
      <c r="C54" t="s">
        <v>102</v>
      </c>
      <c r="D54" t="s">
        <v>72</v>
      </c>
      <c r="E54" t="s">
        <v>217</v>
      </c>
      <c r="F54" t="s">
        <v>357</v>
      </c>
      <c r="G54" t="s">
        <v>358</v>
      </c>
      <c r="H54" t="s">
        <v>359</v>
      </c>
      <c r="I54" t="s">
        <v>76</v>
      </c>
    </row>
    <row r="55" spans="1:9">
      <c r="A55" t="s">
        <v>360</v>
      </c>
      <c r="B55" t="s">
        <v>44</v>
      </c>
      <c r="C55" t="s">
        <v>86</v>
      </c>
      <c r="D55" t="s">
        <v>72</v>
      </c>
      <c r="E55" t="s">
        <v>147</v>
      </c>
      <c r="F55" t="s">
        <v>361</v>
      </c>
      <c r="G55" t="s">
        <v>362</v>
      </c>
      <c r="H55" t="s">
        <v>363</v>
      </c>
      <c r="I55" t="s">
        <v>76</v>
      </c>
    </row>
    <row r="56" spans="1:9">
      <c r="A56" t="s">
        <v>364</v>
      </c>
      <c r="B56" t="s">
        <v>84</v>
      </c>
      <c r="C56" t="s">
        <v>86</v>
      </c>
      <c r="D56" t="s">
        <v>80</v>
      </c>
      <c r="E56" t="s">
        <v>365</v>
      </c>
      <c r="F56" t="s">
        <v>366</v>
      </c>
      <c r="G56" t="s">
        <v>367</v>
      </c>
      <c r="I56" t="s">
        <v>76</v>
      </c>
    </row>
    <row r="57" spans="1:9">
      <c r="A57" t="s">
        <v>368</v>
      </c>
      <c r="B57" t="s">
        <v>84</v>
      </c>
      <c r="C57" t="s">
        <v>106</v>
      </c>
      <c r="D57" t="s">
        <v>72</v>
      </c>
      <c r="E57" t="s">
        <v>369</v>
      </c>
      <c r="F57" t="s">
        <v>370</v>
      </c>
      <c r="I57" t="s">
        <v>76</v>
      </c>
    </row>
    <row r="58" spans="1:9">
      <c r="A58" t="s">
        <v>371</v>
      </c>
      <c r="B58" t="s">
        <v>84</v>
      </c>
      <c r="C58" t="s">
        <v>102</v>
      </c>
      <c r="D58" t="s">
        <v>72</v>
      </c>
      <c r="E58" t="s">
        <v>232</v>
      </c>
      <c r="F58" t="s">
        <v>372</v>
      </c>
      <c r="G58" t="s">
        <v>373</v>
      </c>
      <c r="H58" t="s">
        <v>374</v>
      </c>
      <c r="I58" t="s">
        <v>76</v>
      </c>
    </row>
    <row r="59" spans="1:9">
      <c r="A59" t="s">
        <v>375</v>
      </c>
      <c r="B59" t="s">
        <v>84</v>
      </c>
      <c r="C59" t="s">
        <v>116</v>
      </c>
      <c r="D59" t="s">
        <v>72</v>
      </c>
      <c r="E59" t="s">
        <v>376</v>
      </c>
      <c r="F59" t="s">
        <v>377</v>
      </c>
      <c r="G59" t="s">
        <v>378</v>
      </c>
      <c r="H59" t="s">
        <v>379</v>
      </c>
      <c r="I59" t="s">
        <v>76</v>
      </c>
    </row>
    <row r="60" spans="1:9">
      <c r="A60" t="s">
        <v>380</v>
      </c>
      <c r="B60" t="s">
        <v>84</v>
      </c>
      <c r="C60" t="s">
        <v>86</v>
      </c>
      <c r="D60" t="s">
        <v>72</v>
      </c>
      <c r="E60" t="s">
        <v>381</v>
      </c>
      <c r="F60" t="s">
        <v>382</v>
      </c>
      <c r="G60" t="s">
        <v>383</v>
      </c>
      <c r="I60" t="s">
        <v>76</v>
      </c>
    </row>
    <row r="61" spans="1:9">
      <c r="A61" t="s">
        <v>384</v>
      </c>
      <c r="B61" t="s">
        <v>84</v>
      </c>
      <c r="C61" t="s">
        <v>95</v>
      </c>
      <c r="D61" t="s">
        <v>72</v>
      </c>
      <c r="E61" t="s">
        <v>287</v>
      </c>
      <c r="F61" t="s">
        <v>385</v>
      </c>
      <c r="G61" t="s">
        <v>386</v>
      </c>
      <c r="H61" t="s">
        <v>387</v>
      </c>
      <c r="I61" t="s">
        <v>76</v>
      </c>
    </row>
    <row r="62" spans="1:9">
      <c r="A62" t="s">
        <v>388</v>
      </c>
      <c r="B62" t="s">
        <v>84</v>
      </c>
      <c r="C62" t="s">
        <v>102</v>
      </c>
      <c r="D62" t="s">
        <v>119</v>
      </c>
      <c r="E62" t="s">
        <v>389</v>
      </c>
      <c r="F62" t="s">
        <v>390</v>
      </c>
      <c r="G62" t="s">
        <v>391</v>
      </c>
      <c r="I62" t="s">
        <v>76</v>
      </c>
    </row>
    <row r="63" spans="1:9">
      <c r="A63" t="s">
        <v>392</v>
      </c>
      <c r="B63" t="s">
        <v>44</v>
      </c>
      <c r="C63" t="s">
        <v>69</v>
      </c>
      <c r="D63" t="s">
        <v>72</v>
      </c>
      <c r="E63" t="s">
        <v>393</v>
      </c>
      <c r="F63" t="s">
        <v>394</v>
      </c>
      <c r="G63" t="s">
        <v>395</v>
      </c>
      <c r="I63" t="s">
        <v>76</v>
      </c>
    </row>
    <row r="64" spans="1:9">
      <c r="A64" t="s">
        <v>396</v>
      </c>
      <c r="B64" t="s">
        <v>44</v>
      </c>
      <c r="C64" t="s">
        <v>95</v>
      </c>
      <c r="D64" t="s">
        <v>112</v>
      </c>
      <c r="E64" t="s">
        <v>295</v>
      </c>
      <c r="F64" t="s">
        <v>397</v>
      </c>
      <c r="G64" t="s">
        <v>398</v>
      </c>
      <c r="H64" t="s">
        <v>399</v>
      </c>
      <c r="I64" t="s">
        <v>76</v>
      </c>
    </row>
    <row r="65" spans="1:9">
      <c r="A65" t="s">
        <v>400</v>
      </c>
      <c r="B65" t="s">
        <v>44</v>
      </c>
      <c r="C65" t="s">
        <v>95</v>
      </c>
      <c r="D65" t="s">
        <v>98</v>
      </c>
      <c r="E65" t="s">
        <v>163</v>
      </c>
      <c r="F65" t="s">
        <v>401</v>
      </c>
      <c r="G65" t="s">
        <v>402</v>
      </c>
      <c r="I65" t="s">
        <v>76</v>
      </c>
    </row>
    <row r="66" spans="1:9">
      <c r="A66" t="s">
        <v>403</v>
      </c>
      <c r="B66" t="s">
        <v>84</v>
      </c>
      <c r="C66" t="s">
        <v>86</v>
      </c>
      <c r="D66" t="s">
        <v>119</v>
      </c>
      <c r="E66" t="s">
        <v>404</v>
      </c>
      <c r="F66" t="s">
        <v>405</v>
      </c>
      <c r="G66" t="s">
        <v>406</v>
      </c>
      <c r="I66" t="s">
        <v>76</v>
      </c>
    </row>
    <row r="67" spans="1:9">
      <c r="A67" t="s">
        <v>407</v>
      </c>
      <c r="B67" t="s">
        <v>44</v>
      </c>
      <c r="C67" t="s">
        <v>106</v>
      </c>
      <c r="D67" t="s">
        <v>89</v>
      </c>
      <c r="E67" t="s">
        <v>408</v>
      </c>
      <c r="F67" t="s">
        <v>409</v>
      </c>
      <c r="G67" t="s">
        <v>410</v>
      </c>
      <c r="H67" t="s">
        <v>411</v>
      </c>
      <c r="I67" t="s">
        <v>76</v>
      </c>
    </row>
    <row r="68" spans="1:9">
      <c r="A68" t="s">
        <v>412</v>
      </c>
      <c r="B68" t="s">
        <v>44</v>
      </c>
      <c r="C68" t="s">
        <v>102</v>
      </c>
      <c r="D68" t="s">
        <v>98</v>
      </c>
      <c r="E68" t="s">
        <v>413</v>
      </c>
      <c r="F68" t="s">
        <v>414</v>
      </c>
      <c r="G68" t="s">
        <v>415</v>
      </c>
      <c r="H68" t="s">
        <v>416</v>
      </c>
      <c r="I68" t="s">
        <v>76</v>
      </c>
    </row>
    <row r="69" spans="1:9">
      <c r="A69" t="s">
        <v>417</v>
      </c>
      <c r="B69" t="s">
        <v>44</v>
      </c>
      <c r="C69" t="s">
        <v>106</v>
      </c>
      <c r="D69" t="s">
        <v>72</v>
      </c>
      <c r="E69" t="s">
        <v>217</v>
      </c>
      <c r="F69" t="s">
        <v>418</v>
      </c>
      <c r="G69" t="s">
        <v>419</v>
      </c>
      <c r="H69" t="s">
        <v>420</v>
      </c>
      <c r="I69" t="s">
        <v>76</v>
      </c>
    </row>
    <row r="70" spans="1:9">
      <c r="A70" t="s">
        <v>421</v>
      </c>
      <c r="B70" t="s">
        <v>44</v>
      </c>
      <c r="C70" t="s">
        <v>77</v>
      </c>
      <c r="D70" t="s">
        <v>72</v>
      </c>
      <c r="E70" t="s">
        <v>147</v>
      </c>
      <c r="F70" t="s">
        <v>422</v>
      </c>
      <c r="G70" t="s">
        <v>423</v>
      </c>
      <c r="H70" t="s">
        <v>424</v>
      </c>
      <c r="I70" t="s">
        <v>76</v>
      </c>
    </row>
    <row r="71" spans="1:9">
      <c r="A71" t="s">
        <v>425</v>
      </c>
      <c r="B71" t="s">
        <v>44</v>
      </c>
      <c r="C71" t="s">
        <v>77</v>
      </c>
      <c r="D71" t="s">
        <v>72</v>
      </c>
      <c r="E71" t="s">
        <v>426</v>
      </c>
      <c r="F71" t="s">
        <v>427</v>
      </c>
      <c r="G71" t="s">
        <v>428</v>
      </c>
      <c r="I71" t="s">
        <v>76</v>
      </c>
    </row>
    <row r="72" spans="1:9">
      <c r="A72" t="s">
        <v>429</v>
      </c>
      <c r="B72" t="s">
        <v>44</v>
      </c>
      <c r="C72" t="s">
        <v>106</v>
      </c>
      <c r="D72" t="s">
        <v>72</v>
      </c>
      <c r="E72" t="s">
        <v>337</v>
      </c>
      <c r="F72" t="s">
        <v>430</v>
      </c>
      <c r="G72" t="s">
        <v>431</v>
      </c>
      <c r="H72" t="s">
        <v>432</v>
      </c>
      <c r="I72" t="s">
        <v>76</v>
      </c>
    </row>
    <row r="73" spans="1:9">
      <c r="A73" t="s">
        <v>433</v>
      </c>
      <c r="B73" t="s">
        <v>44</v>
      </c>
      <c r="C73" t="s">
        <v>102</v>
      </c>
      <c r="D73" t="s">
        <v>72</v>
      </c>
      <c r="E73" t="s">
        <v>147</v>
      </c>
      <c r="F73" t="s">
        <v>434</v>
      </c>
      <c r="G73" t="s">
        <v>435</v>
      </c>
      <c r="I73" t="s">
        <v>76</v>
      </c>
    </row>
    <row r="74" spans="1:9">
      <c r="A74" t="s">
        <v>436</v>
      </c>
      <c r="B74" t="s">
        <v>44</v>
      </c>
      <c r="C74" t="s">
        <v>102</v>
      </c>
      <c r="D74" t="s">
        <v>119</v>
      </c>
      <c r="E74" t="s">
        <v>437</v>
      </c>
      <c r="F74" t="s">
        <v>438</v>
      </c>
      <c r="G74" t="s">
        <v>439</v>
      </c>
      <c r="I74" t="s">
        <v>76</v>
      </c>
    </row>
    <row r="75" spans="1:9">
      <c r="A75" t="s">
        <v>440</v>
      </c>
      <c r="B75" t="s">
        <v>44</v>
      </c>
      <c r="C75" t="s">
        <v>102</v>
      </c>
      <c r="D75" t="s">
        <v>112</v>
      </c>
      <c r="E75" t="s">
        <v>441</v>
      </c>
      <c r="F75" t="s">
        <v>442</v>
      </c>
      <c r="G75" t="s">
        <v>443</v>
      </c>
      <c r="I75" t="s">
        <v>76</v>
      </c>
    </row>
    <row r="76" spans="1:9">
      <c r="A76" t="s">
        <v>444</v>
      </c>
      <c r="B76" t="s">
        <v>44</v>
      </c>
      <c r="C76" t="s">
        <v>116</v>
      </c>
      <c r="D76" t="s">
        <v>89</v>
      </c>
      <c r="E76" t="s">
        <v>408</v>
      </c>
      <c r="F76" t="s">
        <v>445</v>
      </c>
      <c r="G76" t="s">
        <v>443</v>
      </c>
      <c r="H76" t="s">
        <v>446</v>
      </c>
      <c r="I76" t="s">
        <v>76</v>
      </c>
    </row>
    <row r="77" spans="1:9">
      <c r="A77" t="s">
        <v>447</v>
      </c>
      <c r="B77" t="s">
        <v>44</v>
      </c>
      <c r="C77" t="s">
        <v>95</v>
      </c>
      <c r="D77" t="s">
        <v>72</v>
      </c>
      <c r="E77" t="s">
        <v>448</v>
      </c>
      <c r="F77" t="s">
        <v>449</v>
      </c>
      <c r="G77" t="s">
        <v>450</v>
      </c>
      <c r="H77" t="s">
        <v>451</v>
      </c>
      <c r="I77" t="s">
        <v>76</v>
      </c>
    </row>
    <row r="78" spans="1:9">
      <c r="A78" t="s">
        <v>452</v>
      </c>
      <c r="B78" t="s">
        <v>44</v>
      </c>
      <c r="C78" t="s">
        <v>116</v>
      </c>
      <c r="D78" t="s">
        <v>89</v>
      </c>
      <c r="E78" t="s">
        <v>212</v>
      </c>
      <c r="F78" t="s">
        <v>453</v>
      </c>
      <c r="G78" t="s">
        <v>454</v>
      </c>
      <c r="H78" t="s">
        <v>455</v>
      </c>
      <c r="I78" t="s">
        <v>76</v>
      </c>
    </row>
    <row r="79" spans="1:9">
      <c r="A79" t="s">
        <v>456</v>
      </c>
      <c r="B79" t="s">
        <v>44</v>
      </c>
      <c r="C79" t="s">
        <v>113</v>
      </c>
      <c r="D79" t="s">
        <v>72</v>
      </c>
      <c r="E79" t="s">
        <v>457</v>
      </c>
      <c r="F79" t="s">
        <v>458</v>
      </c>
      <c r="G79" t="s">
        <v>459</v>
      </c>
      <c r="H79" t="s">
        <v>460</v>
      </c>
      <c r="I79" t="s">
        <v>76</v>
      </c>
    </row>
    <row r="80" spans="1:9">
      <c r="A80" t="s">
        <v>456</v>
      </c>
      <c r="B80" t="s">
        <v>84</v>
      </c>
      <c r="C80" t="s">
        <v>113</v>
      </c>
      <c r="D80" t="s">
        <v>108</v>
      </c>
      <c r="E80" t="s">
        <v>461</v>
      </c>
      <c r="F80" t="s">
        <v>462</v>
      </c>
      <c r="I80" t="s">
        <v>76</v>
      </c>
    </row>
    <row r="81" spans="1:9">
      <c r="A81" t="s">
        <v>463</v>
      </c>
      <c r="B81" t="s">
        <v>44</v>
      </c>
      <c r="C81" t="s">
        <v>110</v>
      </c>
      <c r="D81" t="s">
        <v>80</v>
      </c>
      <c r="E81" t="s">
        <v>464</v>
      </c>
      <c r="F81" t="s">
        <v>465</v>
      </c>
      <c r="G81" t="s">
        <v>466</v>
      </c>
      <c r="I81" t="s">
        <v>76</v>
      </c>
    </row>
    <row r="82" spans="1:9">
      <c r="A82" t="s">
        <v>467</v>
      </c>
      <c r="B82" t="s">
        <v>84</v>
      </c>
      <c r="C82" t="s">
        <v>110</v>
      </c>
      <c r="D82" t="s">
        <v>72</v>
      </c>
      <c r="E82" t="s">
        <v>197</v>
      </c>
      <c r="F82" t="s">
        <v>468</v>
      </c>
      <c r="G82" t="s">
        <v>469</v>
      </c>
      <c r="H82" t="s">
        <v>470</v>
      </c>
      <c r="I82" t="s">
        <v>76</v>
      </c>
    </row>
    <row r="83" spans="1:9">
      <c r="A83" t="s">
        <v>471</v>
      </c>
      <c r="B83" t="s">
        <v>44</v>
      </c>
      <c r="C83" t="s">
        <v>95</v>
      </c>
      <c r="D83" t="s">
        <v>72</v>
      </c>
      <c r="E83" t="s">
        <v>217</v>
      </c>
      <c r="F83" t="s">
        <v>472</v>
      </c>
      <c r="H83" t="s">
        <v>473</v>
      </c>
      <c r="I83" t="s">
        <v>76</v>
      </c>
    </row>
    <row r="84" spans="1:9">
      <c r="A84" t="s">
        <v>474</v>
      </c>
      <c r="B84" t="s">
        <v>44</v>
      </c>
      <c r="C84" t="s">
        <v>102</v>
      </c>
      <c r="D84" t="s">
        <v>72</v>
      </c>
      <c r="E84" t="s">
        <v>475</v>
      </c>
      <c r="F84" t="s">
        <v>476</v>
      </c>
      <c r="G84" t="s">
        <v>477</v>
      </c>
      <c r="I84" t="s">
        <v>76</v>
      </c>
    </row>
    <row r="85" spans="1:9">
      <c r="A85" t="s">
        <v>478</v>
      </c>
      <c r="B85" t="s">
        <v>44</v>
      </c>
      <c r="C85" t="s">
        <v>95</v>
      </c>
      <c r="D85" t="s">
        <v>72</v>
      </c>
      <c r="E85" t="s">
        <v>197</v>
      </c>
      <c r="F85" t="s">
        <v>479</v>
      </c>
      <c r="G85" t="s">
        <v>480</v>
      </c>
      <c r="I85" t="s">
        <v>76</v>
      </c>
    </row>
    <row r="86" spans="1:9">
      <c r="A86" t="s">
        <v>481</v>
      </c>
      <c r="B86" t="s">
        <v>44</v>
      </c>
      <c r="C86" t="s">
        <v>95</v>
      </c>
      <c r="D86" t="s">
        <v>80</v>
      </c>
      <c r="E86" t="s">
        <v>227</v>
      </c>
      <c r="F86" t="s">
        <v>482</v>
      </c>
      <c r="G86" t="s">
        <v>483</v>
      </c>
      <c r="H86" t="s">
        <v>484</v>
      </c>
      <c r="I86" t="s">
        <v>76</v>
      </c>
    </row>
    <row r="87" spans="1:9">
      <c r="A87" t="s">
        <v>485</v>
      </c>
      <c r="B87" t="s">
        <v>44</v>
      </c>
      <c r="C87" t="s">
        <v>69</v>
      </c>
      <c r="D87" t="s">
        <v>80</v>
      </c>
      <c r="E87" t="s">
        <v>227</v>
      </c>
      <c r="F87" t="s">
        <v>486</v>
      </c>
      <c r="G87" t="s">
        <v>487</v>
      </c>
      <c r="H87" t="s">
        <v>488</v>
      </c>
      <c r="I87" t="s">
        <v>76</v>
      </c>
    </row>
    <row r="88" spans="1:9">
      <c r="A88" t="s">
        <v>489</v>
      </c>
      <c r="B88" t="s">
        <v>44</v>
      </c>
      <c r="C88" t="s">
        <v>69</v>
      </c>
      <c r="D88" t="s">
        <v>80</v>
      </c>
      <c r="E88" t="s">
        <v>490</v>
      </c>
      <c r="F88" t="s">
        <v>491</v>
      </c>
      <c r="G88" t="s">
        <v>488</v>
      </c>
      <c r="H88" t="s">
        <v>488</v>
      </c>
      <c r="I88" t="s">
        <v>76</v>
      </c>
    </row>
    <row r="89" spans="1:9">
      <c r="A89" t="s">
        <v>492</v>
      </c>
      <c r="B89" t="s">
        <v>44</v>
      </c>
      <c r="C89" t="s">
        <v>69</v>
      </c>
      <c r="D89" t="s">
        <v>72</v>
      </c>
      <c r="E89" t="s">
        <v>369</v>
      </c>
      <c r="F89" t="s">
        <v>493</v>
      </c>
      <c r="G89" t="s">
        <v>494</v>
      </c>
      <c r="H89" t="s">
        <v>495</v>
      </c>
      <c r="I89" t="s">
        <v>76</v>
      </c>
    </row>
    <row r="90" spans="1:9">
      <c r="A90" t="s">
        <v>496</v>
      </c>
      <c r="B90" t="s">
        <v>44</v>
      </c>
      <c r="C90" t="s">
        <v>102</v>
      </c>
      <c r="D90" t="s">
        <v>72</v>
      </c>
      <c r="E90" t="s">
        <v>232</v>
      </c>
      <c r="F90" t="s">
        <v>497</v>
      </c>
      <c r="G90" t="s">
        <v>498</v>
      </c>
      <c r="H90" t="s">
        <v>499</v>
      </c>
      <c r="I90" t="s">
        <v>76</v>
      </c>
    </row>
    <row r="91" spans="1:9">
      <c r="A91" t="s">
        <v>500</v>
      </c>
      <c r="B91" t="s">
        <v>44</v>
      </c>
      <c r="C91" t="s">
        <v>95</v>
      </c>
      <c r="D91" t="s">
        <v>72</v>
      </c>
      <c r="E91" t="s">
        <v>501</v>
      </c>
      <c r="F91" t="s">
        <v>502</v>
      </c>
      <c r="G91" t="s">
        <v>503</v>
      </c>
      <c r="H91" t="s">
        <v>488</v>
      </c>
      <c r="I91" t="s">
        <v>76</v>
      </c>
    </row>
    <row r="92" spans="1:9">
      <c r="A92" t="s">
        <v>504</v>
      </c>
      <c r="B92" t="s">
        <v>44</v>
      </c>
      <c r="C92" t="s">
        <v>95</v>
      </c>
      <c r="D92" t="s">
        <v>72</v>
      </c>
      <c r="E92" t="s">
        <v>287</v>
      </c>
      <c r="F92" t="s">
        <v>505</v>
      </c>
      <c r="G92" t="s">
        <v>506</v>
      </c>
      <c r="I92" t="s">
        <v>76</v>
      </c>
    </row>
    <row r="93" spans="1:9">
      <c r="A93" t="s">
        <v>507</v>
      </c>
      <c r="B93" t="s">
        <v>44</v>
      </c>
      <c r="C93" t="s">
        <v>116</v>
      </c>
      <c r="D93" t="s">
        <v>89</v>
      </c>
      <c r="E93" t="s">
        <v>508</v>
      </c>
      <c r="F93" t="s">
        <v>509</v>
      </c>
      <c r="G93" t="s">
        <v>510</v>
      </c>
      <c r="I93" t="s">
        <v>76</v>
      </c>
    </row>
    <row r="94" spans="1:9">
      <c r="A94" t="s">
        <v>511</v>
      </c>
      <c r="B94" t="s">
        <v>44</v>
      </c>
      <c r="C94" t="s">
        <v>95</v>
      </c>
      <c r="D94" t="s">
        <v>104</v>
      </c>
      <c r="E94" t="s">
        <v>512</v>
      </c>
      <c r="F94" t="s">
        <v>513</v>
      </c>
      <c r="G94" t="s">
        <v>510</v>
      </c>
      <c r="I94" t="s">
        <v>76</v>
      </c>
    </row>
    <row r="95" spans="1:9">
      <c r="A95" t="s">
        <v>514</v>
      </c>
      <c r="B95" t="s">
        <v>44</v>
      </c>
      <c r="C95" t="s">
        <v>69</v>
      </c>
      <c r="D95" t="s">
        <v>72</v>
      </c>
      <c r="E95" t="s">
        <v>515</v>
      </c>
      <c r="F95" t="s">
        <v>516</v>
      </c>
      <c r="G95" t="s">
        <v>517</v>
      </c>
      <c r="H95" t="s">
        <v>518</v>
      </c>
      <c r="I95" t="s">
        <v>76</v>
      </c>
    </row>
    <row r="96" spans="1:9">
      <c r="A96" t="s">
        <v>519</v>
      </c>
      <c r="B96" t="s">
        <v>44</v>
      </c>
      <c r="C96" t="s">
        <v>69</v>
      </c>
      <c r="D96" t="s">
        <v>80</v>
      </c>
      <c r="E96" t="s">
        <v>520</v>
      </c>
      <c r="F96" t="s">
        <v>521</v>
      </c>
      <c r="G96" t="s">
        <v>522</v>
      </c>
      <c r="H96" t="s">
        <v>523</v>
      </c>
      <c r="I96" t="s">
        <v>76</v>
      </c>
    </row>
    <row r="97" spans="1:9">
      <c r="A97" t="s">
        <v>519</v>
      </c>
      <c r="B97" t="s">
        <v>44</v>
      </c>
      <c r="C97" t="s">
        <v>69</v>
      </c>
      <c r="D97" t="s">
        <v>104</v>
      </c>
      <c r="E97" t="s">
        <v>512</v>
      </c>
      <c r="F97" t="s">
        <v>524</v>
      </c>
      <c r="G97" t="s">
        <v>525</v>
      </c>
      <c r="H97" t="s">
        <v>526</v>
      </c>
      <c r="I97" t="s">
        <v>76</v>
      </c>
    </row>
    <row r="98" spans="1:9">
      <c r="A98" t="s">
        <v>519</v>
      </c>
      <c r="B98" t="s">
        <v>44</v>
      </c>
      <c r="C98" t="s">
        <v>69</v>
      </c>
      <c r="D98" t="s">
        <v>80</v>
      </c>
      <c r="E98" t="s">
        <v>520</v>
      </c>
      <c r="F98" t="s">
        <v>527</v>
      </c>
      <c r="G98" t="s">
        <v>528</v>
      </c>
      <c r="H98" t="s">
        <v>523</v>
      </c>
      <c r="I98" t="s">
        <v>76</v>
      </c>
    </row>
    <row r="99" spans="1:9">
      <c r="A99" t="s">
        <v>529</v>
      </c>
      <c r="B99" t="s">
        <v>44</v>
      </c>
      <c r="C99" t="s">
        <v>69</v>
      </c>
      <c r="D99" t="s">
        <v>126</v>
      </c>
      <c r="E99" t="s">
        <v>530</v>
      </c>
      <c r="F99" t="s">
        <v>531</v>
      </c>
      <c r="G99" t="s">
        <v>532</v>
      </c>
      <c r="I99" t="s">
        <v>76</v>
      </c>
    </row>
    <row r="100" spans="1:9">
      <c r="A100" t="s">
        <v>533</v>
      </c>
      <c r="B100" t="s">
        <v>44</v>
      </c>
      <c r="C100" t="s">
        <v>77</v>
      </c>
      <c r="D100" t="s">
        <v>89</v>
      </c>
      <c r="E100" t="s">
        <v>212</v>
      </c>
      <c r="F100" t="s">
        <v>534</v>
      </c>
      <c r="G100" t="s">
        <v>535</v>
      </c>
      <c r="I100" t="s">
        <v>76</v>
      </c>
    </row>
    <row r="101" spans="1:9">
      <c r="A101" t="s">
        <v>536</v>
      </c>
      <c r="B101" t="s">
        <v>44</v>
      </c>
      <c r="C101" t="s">
        <v>69</v>
      </c>
      <c r="D101" t="s">
        <v>72</v>
      </c>
      <c r="E101" t="s">
        <v>537</v>
      </c>
      <c r="F101" t="s">
        <v>538</v>
      </c>
      <c r="G101" t="s">
        <v>539</v>
      </c>
      <c r="H101" t="s">
        <v>540</v>
      </c>
      <c r="I101" t="s">
        <v>76</v>
      </c>
    </row>
    <row r="102" spans="1:9">
      <c r="A102" t="s">
        <v>541</v>
      </c>
      <c r="B102" t="s">
        <v>44</v>
      </c>
      <c r="C102" t="s">
        <v>86</v>
      </c>
      <c r="D102" t="s">
        <v>104</v>
      </c>
      <c r="E102" t="s">
        <v>542</v>
      </c>
      <c r="F102" t="s">
        <v>543</v>
      </c>
      <c r="G102" t="s">
        <v>544</v>
      </c>
      <c r="H102" t="s">
        <v>488</v>
      </c>
      <c r="I102" t="s">
        <v>76</v>
      </c>
    </row>
    <row r="103" spans="1:9">
      <c r="A103" t="s">
        <v>541</v>
      </c>
      <c r="B103" t="s">
        <v>44</v>
      </c>
      <c r="C103" t="s">
        <v>86</v>
      </c>
      <c r="D103" t="s">
        <v>72</v>
      </c>
      <c r="E103" t="s">
        <v>545</v>
      </c>
      <c r="F103" t="s">
        <v>546</v>
      </c>
      <c r="G103" t="s">
        <v>547</v>
      </c>
      <c r="H103" t="s">
        <v>488</v>
      </c>
      <c r="I103" t="s">
        <v>76</v>
      </c>
    </row>
    <row r="104" spans="1:9">
      <c r="A104" t="s">
        <v>548</v>
      </c>
      <c r="B104" t="s">
        <v>44</v>
      </c>
      <c r="C104" t="s">
        <v>86</v>
      </c>
      <c r="D104" t="s">
        <v>80</v>
      </c>
      <c r="E104" t="s">
        <v>549</v>
      </c>
      <c r="F104" t="s">
        <v>550</v>
      </c>
      <c r="G104" t="s">
        <v>551</v>
      </c>
      <c r="H104" t="s">
        <v>552</v>
      </c>
      <c r="I104" t="s">
        <v>76</v>
      </c>
    </row>
    <row r="105" spans="1:9">
      <c r="A105" t="s">
        <v>553</v>
      </c>
      <c r="B105" t="s">
        <v>44</v>
      </c>
      <c r="C105" t="s">
        <v>69</v>
      </c>
      <c r="D105" t="s">
        <v>72</v>
      </c>
      <c r="E105" t="s">
        <v>217</v>
      </c>
      <c r="F105" t="s">
        <v>554</v>
      </c>
      <c r="G105" t="s">
        <v>555</v>
      </c>
      <c r="H105" t="s">
        <v>556</v>
      </c>
      <c r="I105" t="s">
        <v>76</v>
      </c>
    </row>
    <row r="106" spans="1:9">
      <c r="A106" t="s">
        <v>557</v>
      </c>
      <c r="B106" t="s">
        <v>44</v>
      </c>
      <c r="C106" t="s">
        <v>69</v>
      </c>
      <c r="D106" t="s">
        <v>72</v>
      </c>
      <c r="E106" t="s">
        <v>217</v>
      </c>
      <c r="F106" t="s">
        <v>558</v>
      </c>
      <c r="G106" t="s">
        <v>488</v>
      </c>
      <c r="H106" t="s">
        <v>559</v>
      </c>
      <c r="I106" t="s">
        <v>76</v>
      </c>
    </row>
    <row r="107" spans="1:9">
      <c r="A107" t="s">
        <v>560</v>
      </c>
      <c r="B107" t="s">
        <v>44</v>
      </c>
      <c r="C107" t="s">
        <v>69</v>
      </c>
      <c r="D107" t="s">
        <v>72</v>
      </c>
      <c r="E107" t="s">
        <v>217</v>
      </c>
      <c r="F107" t="s">
        <v>561</v>
      </c>
      <c r="G107" t="s">
        <v>562</v>
      </c>
      <c r="H107" t="s">
        <v>488</v>
      </c>
      <c r="I107" t="s">
        <v>76</v>
      </c>
    </row>
    <row r="108" spans="1:9">
      <c r="A108" t="s">
        <v>563</v>
      </c>
      <c r="B108" t="s">
        <v>44</v>
      </c>
      <c r="C108" t="s">
        <v>69</v>
      </c>
      <c r="D108" t="s">
        <v>72</v>
      </c>
      <c r="E108" t="s">
        <v>564</v>
      </c>
      <c r="F108" t="s">
        <v>565</v>
      </c>
      <c r="G108" t="s">
        <v>566</v>
      </c>
      <c r="H108" t="s">
        <v>567</v>
      </c>
      <c r="I108" t="s">
        <v>76</v>
      </c>
    </row>
    <row r="109" spans="1:9">
      <c r="A109" t="s">
        <v>568</v>
      </c>
      <c r="B109" t="s">
        <v>44</v>
      </c>
      <c r="C109" t="s">
        <v>77</v>
      </c>
      <c r="D109" t="s">
        <v>72</v>
      </c>
      <c r="E109" t="s">
        <v>332</v>
      </c>
      <c r="F109" t="s">
        <v>569</v>
      </c>
      <c r="G109" t="s">
        <v>570</v>
      </c>
      <c r="H109" t="s">
        <v>571</v>
      </c>
      <c r="I109" t="s">
        <v>76</v>
      </c>
    </row>
    <row r="110" spans="1:9">
      <c r="A110" t="s">
        <v>572</v>
      </c>
      <c r="B110" t="s">
        <v>44</v>
      </c>
      <c r="C110" t="s">
        <v>102</v>
      </c>
      <c r="D110" t="s">
        <v>72</v>
      </c>
      <c r="E110" t="s">
        <v>393</v>
      </c>
      <c r="F110" t="s">
        <v>573</v>
      </c>
      <c r="G110" t="s">
        <v>574</v>
      </c>
      <c r="H110" t="s">
        <v>488</v>
      </c>
      <c r="I110" t="s">
        <v>76</v>
      </c>
    </row>
    <row r="111" spans="1:9">
      <c r="A111" t="s">
        <v>575</v>
      </c>
      <c r="B111" t="s">
        <v>44</v>
      </c>
      <c r="C111" t="s">
        <v>110</v>
      </c>
      <c r="D111" t="s">
        <v>72</v>
      </c>
      <c r="E111" t="s">
        <v>576</v>
      </c>
      <c r="F111" t="s">
        <v>577</v>
      </c>
      <c r="G111" t="s">
        <v>578</v>
      </c>
      <c r="H111" t="s">
        <v>579</v>
      </c>
      <c r="I111" t="s">
        <v>76</v>
      </c>
    </row>
    <row r="112" spans="1:9">
      <c r="A112" t="s">
        <v>580</v>
      </c>
      <c r="B112" t="s">
        <v>44</v>
      </c>
      <c r="C112" t="s">
        <v>86</v>
      </c>
      <c r="D112" t="s">
        <v>98</v>
      </c>
      <c r="E112" t="s">
        <v>581</v>
      </c>
      <c r="F112" t="s">
        <v>582</v>
      </c>
      <c r="G112" t="s">
        <v>583</v>
      </c>
      <c r="H112" t="s">
        <v>584</v>
      </c>
      <c r="I112" t="s">
        <v>76</v>
      </c>
    </row>
    <row r="113" spans="1:9">
      <c r="A113" t="s">
        <v>585</v>
      </c>
      <c r="B113" t="s">
        <v>44</v>
      </c>
      <c r="C113" t="s">
        <v>69</v>
      </c>
      <c r="D113" t="s">
        <v>72</v>
      </c>
      <c r="E113" t="s">
        <v>501</v>
      </c>
      <c r="F113" t="s">
        <v>586</v>
      </c>
      <c r="G113" t="s">
        <v>587</v>
      </c>
      <c r="H113" t="s">
        <v>588</v>
      </c>
      <c r="I113" t="s">
        <v>76</v>
      </c>
    </row>
    <row r="114" spans="1:9">
      <c r="A114" t="s">
        <v>589</v>
      </c>
      <c r="B114" t="s">
        <v>44</v>
      </c>
      <c r="C114" t="s">
        <v>110</v>
      </c>
      <c r="D114" t="s">
        <v>72</v>
      </c>
      <c r="E114" t="s">
        <v>147</v>
      </c>
      <c r="F114" t="s">
        <v>590</v>
      </c>
      <c r="G114" t="s">
        <v>591</v>
      </c>
      <c r="H114" t="s">
        <v>488</v>
      </c>
      <c r="I114" t="s">
        <v>76</v>
      </c>
    </row>
    <row r="115" spans="1:9">
      <c r="A115" t="s">
        <v>592</v>
      </c>
      <c r="B115" t="s">
        <v>44</v>
      </c>
      <c r="C115" t="s">
        <v>110</v>
      </c>
      <c r="D115" t="s">
        <v>72</v>
      </c>
      <c r="E115" t="s">
        <v>147</v>
      </c>
      <c r="F115" t="s">
        <v>593</v>
      </c>
      <c r="G115" t="s">
        <v>594</v>
      </c>
      <c r="H115" t="s">
        <v>488</v>
      </c>
      <c r="I115" t="s">
        <v>76</v>
      </c>
    </row>
    <row r="116" spans="1:9">
      <c r="A116" t="s">
        <v>595</v>
      </c>
      <c r="B116" t="s">
        <v>44</v>
      </c>
      <c r="C116" t="s">
        <v>110</v>
      </c>
      <c r="D116" t="s">
        <v>72</v>
      </c>
      <c r="E116" t="s">
        <v>147</v>
      </c>
      <c r="F116" t="s">
        <v>596</v>
      </c>
      <c r="G116" t="s">
        <v>597</v>
      </c>
      <c r="H116" t="s">
        <v>598</v>
      </c>
      <c r="I116" t="s">
        <v>76</v>
      </c>
    </row>
    <row r="117" spans="1:9">
      <c r="A117" t="s">
        <v>599</v>
      </c>
      <c r="B117" t="s">
        <v>44</v>
      </c>
      <c r="C117" t="s">
        <v>69</v>
      </c>
      <c r="D117" t="s">
        <v>72</v>
      </c>
      <c r="E117" t="s">
        <v>217</v>
      </c>
      <c r="F117" t="s">
        <v>600</v>
      </c>
      <c r="G117" t="s">
        <v>601</v>
      </c>
      <c r="H117" t="s">
        <v>488</v>
      </c>
      <c r="I117" t="s">
        <v>76</v>
      </c>
    </row>
    <row r="118" spans="1:9">
      <c r="A118" t="s">
        <v>602</v>
      </c>
      <c r="B118" t="s">
        <v>44</v>
      </c>
      <c r="C118" t="s">
        <v>69</v>
      </c>
      <c r="D118" t="s">
        <v>72</v>
      </c>
      <c r="E118" t="s">
        <v>232</v>
      </c>
      <c r="F118" t="s">
        <v>603</v>
      </c>
      <c r="G118" t="s">
        <v>604</v>
      </c>
      <c r="H118" t="s">
        <v>605</v>
      </c>
      <c r="I118" t="s">
        <v>76</v>
      </c>
    </row>
    <row r="119" spans="1:9">
      <c r="A119" t="s">
        <v>606</v>
      </c>
      <c r="B119" t="s">
        <v>44</v>
      </c>
      <c r="C119" t="s">
        <v>69</v>
      </c>
      <c r="D119" t="s">
        <v>72</v>
      </c>
      <c r="E119" t="s">
        <v>369</v>
      </c>
      <c r="F119" t="s">
        <v>607</v>
      </c>
      <c r="G119" t="s">
        <v>608</v>
      </c>
      <c r="H119" t="s">
        <v>609</v>
      </c>
      <c r="I119" t="s">
        <v>76</v>
      </c>
    </row>
    <row r="120" spans="1:9">
      <c r="A120" t="s">
        <v>610</v>
      </c>
      <c r="B120" t="s">
        <v>44</v>
      </c>
      <c r="C120" t="s">
        <v>69</v>
      </c>
      <c r="D120" t="s">
        <v>72</v>
      </c>
      <c r="E120" t="s">
        <v>352</v>
      </c>
      <c r="F120" t="s">
        <v>611</v>
      </c>
      <c r="G120" t="s">
        <v>612</v>
      </c>
      <c r="H120" t="s">
        <v>613</v>
      </c>
      <c r="I120" t="s">
        <v>76</v>
      </c>
    </row>
    <row r="121" spans="1:9">
      <c r="A121" t="s">
        <v>614</v>
      </c>
      <c r="B121" t="s">
        <v>44</v>
      </c>
      <c r="C121" t="s">
        <v>77</v>
      </c>
      <c r="D121" t="s">
        <v>98</v>
      </c>
      <c r="E121" t="s">
        <v>163</v>
      </c>
      <c r="F121" t="s">
        <v>615</v>
      </c>
      <c r="G121" t="s">
        <v>616</v>
      </c>
      <c r="H121" t="s">
        <v>617</v>
      </c>
      <c r="I121" t="s">
        <v>76</v>
      </c>
    </row>
    <row r="122" spans="1:9">
      <c r="A122" t="s">
        <v>618</v>
      </c>
      <c r="B122" t="s">
        <v>44</v>
      </c>
      <c r="C122" t="s">
        <v>77</v>
      </c>
      <c r="D122" t="s">
        <v>72</v>
      </c>
      <c r="E122" t="s">
        <v>207</v>
      </c>
      <c r="F122" t="s">
        <v>619</v>
      </c>
      <c r="G122" t="s">
        <v>620</v>
      </c>
      <c r="H122" t="s">
        <v>621</v>
      </c>
      <c r="I122" t="s">
        <v>76</v>
      </c>
    </row>
    <row r="123" spans="1:9">
      <c r="A123" t="s">
        <v>622</v>
      </c>
      <c r="B123" t="s">
        <v>44</v>
      </c>
      <c r="C123" t="s">
        <v>69</v>
      </c>
      <c r="D123" t="s">
        <v>72</v>
      </c>
      <c r="E123" t="s">
        <v>623</v>
      </c>
      <c r="F123" t="s">
        <v>624</v>
      </c>
      <c r="G123" t="s">
        <v>625</v>
      </c>
      <c r="I123" t="s">
        <v>76</v>
      </c>
    </row>
    <row r="124" spans="1:9">
      <c r="A124" t="s">
        <v>626</v>
      </c>
      <c r="B124" t="s">
        <v>44</v>
      </c>
      <c r="C124" t="s">
        <v>77</v>
      </c>
      <c r="D124" t="s">
        <v>72</v>
      </c>
      <c r="E124" t="s">
        <v>241</v>
      </c>
      <c r="F124" t="s">
        <v>627</v>
      </c>
      <c r="G124" t="s">
        <v>628</v>
      </c>
      <c r="H124" t="s">
        <v>629</v>
      </c>
      <c r="I124" t="s">
        <v>76</v>
      </c>
    </row>
    <row r="125" spans="1:9">
      <c r="A125" t="s">
        <v>630</v>
      </c>
      <c r="B125" t="s">
        <v>44</v>
      </c>
      <c r="C125" t="s">
        <v>86</v>
      </c>
      <c r="D125" t="s">
        <v>72</v>
      </c>
      <c r="E125" t="s">
        <v>631</v>
      </c>
      <c r="F125" t="s">
        <v>632</v>
      </c>
      <c r="G125" t="s">
        <v>633</v>
      </c>
      <c r="H125" t="s">
        <v>634</v>
      </c>
      <c r="I125" t="s">
        <v>76</v>
      </c>
    </row>
    <row r="126" spans="1:9">
      <c r="A126" t="s">
        <v>635</v>
      </c>
      <c r="B126" t="s">
        <v>44</v>
      </c>
      <c r="C126" t="s">
        <v>110</v>
      </c>
      <c r="D126" t="s">
        <v>72</v>
      </c>
      <c r="E126" t="s">
        <v>501</v>
      </c>
      <c r="F126" t="s">
        <v>636</v>
      </c>
      <c r="G126" t="s">
        <v>637</v>
      </c>
      <c r="H126" t="s">
        <v>638</v>
      </c>
      <c r="I126" t="s">
        <v>76</v>
      </c>
    </row>
    <row r="127" spans="1:9">
      <c r="A127" t="s">
        <v>639</v>
      </c>
      <c r="B127" t="s">
        <v>44</v>
      </c>
      <c r="C127" t="s">
        <v>69</v>
      </c>
      <c r="D127" t="s">
        <v>72</v>
      </c>
      <c r="E127" t="s">
        <v>640</v>
      </c>
      <c r="F127" t="s">
        <v>641</v>
      </c>
      <c r="G127" t="s">
        <v>642</v>
      </c>
      <c r="H127" t="s">
        <v>643</v>
      </c>
      <c r="I127" t="s">
        <v>76</v>
      </c>
    </row>
    <row r="128" spans="1:9">
      <c r="A128" t="s">
        <v>644</v>
      </c>
      <c r="B128" t="s">
        <v>44</v>
      </c>
      <c r="C128" t="s">
        <v>77</v>
      </c>
      <c r="D128" t="s">
        <v>104</v>
      </c>
      <c r="E128" t="s">
        <v>645</v>
      </c>
      <c r="F128" t="s">
        <v>646</v>
      </c>
      <c r="G128" t="s">
        <v>647</v>
      </c>
      <c r="H128" t="s">
        <v>648</v>
      </c>
      <c r="I128" t="s">
        <v>76</v>
      </c>
    </row>
    <row r="129" spans="1:9">
      <c r="A129" t="s">
        <v>649</v>
      </c>
      <c r="B129" t="s">
        <v>44</v>
      </c>
      <c r="C129" t="s">
        <v>77</v>
      </c>
      <c r="D129" t="s">
        <v>108</v>
      </c>
      <c r="E129" t="s">
        <v>650</v>
      </c>
      <c r="F129" t="s">
        <v>651</v>
      </c>
      <c r="G129" t="s">
        <v>652</v>
      </c>
      <c r="H129" t="s">
        <v>653</v>
      </c>
      <c r="I129" t="s">
        <v>76</v>
      </c>
    </row>
    <row r="130" spans="1:9">
      <c r="A130" t="s">
        <v>654</v>
      </c>
      <c r="B130" t="s">
        <v>44</v>
      </c>
      <c r="C130" t="s">
        <v>77</v>
      </c>
      <c r="D130" t="s">
        <v>72</v>
      </c>
      <c r="E130" t="s">
        <v>655</v>
      </c>
      <c r="F130" t="s">
        <v>656</v>
      </c>
      <c r="G130" t="s">
        <v>657</v>
      </c>
      <c r="H130" t="s">
        <v>488</v>
      </c>
      <c r="I130" t="s">
        <v>76</v>
      </c>
    </row>
    <row r="131" spans="1:9">
      <c r="A131" t="s">
        <v>658</v>
      </c>
      <c r="B131" t="s">
        <v>44</v>
      </c>
      <c r="C131" t="s">
        <v>106</v>
      </c>
      <c r="D131" t="s">
        <v>72</v>
      </c>
      <c r="E131" t="s">
        <v>659</v>
      </c>
      <c r="F131" t="s">
        <v>660</v>
      </c>
      <c r="G131" t="s">
        <v>661</v>
      </c>
      <c r="H131" t="s">
        <v>662</v>
      </c>
      <c r="I131" t="s">
        <v>76</v>
      </c>
    </row>
    <row r="132" spans="1:9">
      <c r="A132" t="s">
        <v>663</v>
      </c>
      <c r="B132" t="s">
        <v>44</v>
      </c>
      <c r="C132" t="s">
        <v>69</v>
      </c>
      <c r="D132" t="s">
        <v>72</v>
      </c>
      <c r="E132" t="s">
        <v>217</v>
      </c>
      <c r="F132" t="s">
        <v>664</v>
      </c>
      <c r="G132" t="s">
        <v>665</v>
      </c>
      <c r="H132" t="s">
        <v>666</v>
      </c>
      <c r="I132" t="s">
        <v>76</v>
      </c>
    </row>
    <row r="133" spans="1:9">
      <c r="A133" t="s">
        <v>667</v>
      </c>
      <c r="B133" t="s">
        <v>44</v>
      </c>
      <c r="C133" t="s">
        <v>86</v>
      </c>
      <c r="D133" t="s">
        <v>72</v>
      </c>
      <c r="E133" t="s">
        <v>184</v>
      </c>
      <c r="F133" t="s">
        <v>668</v>
      </c>
      <c r="G133" t="s">
        <v>669</v>
      </c>
      <c r="H133" t="s">
        <v>670</v>
      </c>
      <c r="I133" t="s">
        <v>76</v>
      </c>
    </row>
    <row r="134" spans="1:9">
      <c r="A134" t="s">
        <v>671</v>
      </c>
      <c r="B134" t="s">
        <v>44</v>
      </c>
      <c r="C134" t="s">
        <v>69</v>
      </c>
      <c r="D134" t="s">
        <v>72</v>
      </c>
      <c r="E134" t="s">
        <v>659</v>
      </c>
      <c r="F134" t="s">
        <v>672</v>
      </c>
      <c r="G134" t="s">
        <v>673</v>
      </c>
      <c r="H134" t="s">
        <v>488</v>
      </c>
      <c r="I134" t="s">
        <v>76</v>
      </c>
    </row>
    <row r="135" spans="1:9">
      <c r="A135" t="s">
        <v>674</v>
      </c>
      <c r="B135" t="s">
        <v>44</v>
      </c>
      <c r="C135" t="s">
        <v>95</v>
      </c>
      <c r="D135" t="s">
        <v>72</v>
      </c>
      <c r="E135" t="s">
        <v>207</v>
      </c>
      <c r="F135" t="s">
        <v>675</v>
      </c>
      <c r="G135" t="s">
        <v>676</v>
      </c>
      <c r="H135" t="s">
        <v>488</v>
      </c>
      <c r="I135" t="s">
        <v>76</v>
      </c>
    </row>
    <row r="136" spans="1:9">
      <c r="A136" t="s">
        <v>677</v>
      </c>
      <c r="B136" t="s">
        <v>44</v>
      </c>
      <c r="C136" t="s">
        <v>69</v>
      </c>
      <c r="D136" t="s">
        <v>72</v>
      </c>
      <c r="E136" t="s">
        <v>147</v>
      </c>
      <c r="F136" t="s">
        <v>678</v>
      </c>
      <c r="G136" t="s">
        <v>679</v>
      </c>
      <c r="H136" t="s">
        <v>680</v>
      </c>
      <c r="I136" t="s">
        <v>76</v>
      </c>
    </row>
    <row r="137" spans="1:9">
      <c r="A137" t="s">
        <v>681</v>
      </c>
      <c r="B137" t="s">
        <v>44</v>
      </c>
      <c r="C137" t="s">
        <v>77</v>
      </c>
      <c r="D137" t="s">
        <v>72</v>
      </c>
      <c r="E137" t="s">
        <v>369</v>
      </c>
      <c r="F137" t="s">
        <v>682</v>
      </c>
      <c r="G137" t="s">
        <v>683</v>
      </c>
      <c r="H137" t="s">
        <v>488</v>
      </c>
      <c r="I137" t="s">
        <v>76</v>
      </c>
    </row>
    <row r="138" spans="1:9">
      <c r="A138" t="s">
        <v>684</v>
      </c>
      <c r="B138" t="s">
        <v>44</v>
      </c>
      <c r="C138" t="s">
        <v>69</v>
      </c>
      <c r="D138" t="s">
        <v>80</v>
      </c>
      <c r="E138" t="s">
        <v>685</v>
      </c>
      <c r="F138" t="s">
        <v>686</v>
      </c>
      <c r="G138" t="s">
        <v>488</v>
      </c>
      <c r="H138" t="s">
        <v>687</v>
      </c>
      <c r="I138" t="s">
        <v>76</v>
      </c>
    </row>
    <row r="139" spans="1:9">
      <c r="A139" t="s">
        <v>688</v>
      </c>
      <c r="B139" t="s">
        <v>44</v>
      </c>
      <c r="C139" t="s">
        <v>69</v>
      </c>
      <c r="D139" t="s">
        <v>112</v>
      </c>
      <c r="E139" t="s">
        <v>689</v>
      </c>
      <c r="F139" t="s">
        <v>690</v>
      </c>
      <c r="G139" t="s">
        <v>691</v>
      </c>
      <c r="H139" t="s">
        <v>488</v>
      </c>
      <c r="I139" t="s">
        <v>76</v>
      </c>
    </row>
    <row r="140" spans="1:9">
      <c r="A140" t="s">
        <v>692</v>
      </c>
      <c r="B140" t="s">
        <v>44</v>
      </c>
      <c r="C140" t="s">
        <v>69</v>
      </c>
      <c r="D140" t="s">
        <v>72</v>
      </c>
      <c r="E140" t="s">
        <v>693</v>
      </c>
      <c r="F140" t="s">
        <v>694</v>
      </c>
      <c r="G140" t="s">
        <v>695</v>
      </c>
      <c r="H140" t="s">
        <v>488</v>
      </c>
      <c r="I140" t="s">
        <v>76</v>
      </c>
    </row>
    <row r="141" spans="1:9">
      <c r="A141" t="s">
        <v>692</v>
      </c>
      <c r="B141" t="s">
        <v>44</v>
      </c>
      <c r="C141" t="s">
        <v>69</v>
      </c>
      <c r="D141" t="s">
        <v>72</v>
      </c>
      <c r="E141" t="s">
        <v>287</v>
      </c>
      <c r="F141" t="s">
        <v>696</v>
      </c>
      <c r="G141" t="s">
        <v>697</v>
      </c>
      <c r="H141" t="s">
        <v>488</v>
      </c>
      <c r="I141" t="s">
        <v>76</v>
      </c>
    </row>
    <row r="142" spans="1:9">
      <c r="A142" t="s">
        <v>698</v>
      </c>
      <c r="B142" t="s">
        <v>44</v>
      </c>
      <c r="C142" t="s">
        <v>69</v>
      </c>
      <c r="D142" t="s">
        <v>72</v>
      </c>
      <c r="E142" t="s">
        <v>147</v>
      </c>
      <c r="F142" t="s">
        <v>699</v>
      </c>
      <c r="G142" t="s">
        <v>700</v>
      </c>
      <c r="H142" t="s">
        <v>701</v>
      </c>
      <c r="I142" t="s">
        <v>76</v>
      </c>
    </row>
    <row r="143" spans="1:9">
      <c r="A143" t="s">
        <v>702</v>
      </c>
      <c r="B143" t="s">
        <v>44</v>
      </c>
      <c r="C143" t="s">
        <v>69</v>
      </c>
      <c r="D143" t="s">
        <v>89</v>
      </c>
      <c r="E143" t="s">
        <v>703</v>
      </c>
      <c r="F143" t="s">
        <v>704</v>
      </c>
      <c r="G143" t="s">
        <v>488</v>
      </c>
      <c r="H143" t="s">
        <v>705</v>
      </c>
      <c r="I143" t="s">
        <v>76</v>
      </c>
    </row>
    <row r="144" spans="1:9">
      <c r="A144" t="s">
        <v>706</v>
      </c>
      <c r="B144" t="s">
        <v>44</v>
      </c>
      <c r="C144" t="s">
        <v>110</v>
      </c>
      <c r="D144" t="s">
        <v>125</v>
      </c>
      <c r="E144" t="s">
        <v>707</v>
      </c>
      <c r="F144" t="s">
        <v>708</v>
      </c>
      <c r="G144" t="s">
        <v>709</v>
      </c>
      <c r="H144" t="s">
        <v>710</v>
      </c>
      <c r="I144" t="s">
        <v>76</v>
      </c>
    </row>
    <row r="145" spans="1:9">
      <c r="A145" t="s">
        <v>711</v>
      </c>
      <c r="B145" t="s">
        <v>44</v>
      </c>
      <c r="C145" t="s">
        <v>69</v>
      </c>
      <c r="D145" t="s">
        <v>89</v>
      </c>
      <c r="E145" t="s">
        <v>712</v>
      </c>
      <c r="F145" t="s">
        <v>713</v>
      </c>
      <c r="G145" t="s">
        <v>714</v>
      </c>
      <c r="H145" t="s">
        <v>715</v>
      </c>
      <c r="I145" t="s">
        <v>76</v>
      </c>
    </row>
    <row r="146" spans="1:9">
      <c r="A146" t="s">
        <v>716</v>
      </c>
      <c r="B146" t="s">
        <v>44</v>
      </c>
      <c r="C146" t="s">
        <v>77</v>
      </c>
      <c r="D146" t="s">
        <v>72</v>
      </c>
      <c r="E146" t="s">
        <v>147</v>
      </c>
      <c r="F146" t="s">
        <v>717</v>
      </c>
      <c r="G146" t="s">
        <v>718</v>
      </c>
      <c r="H146" t="s">
        <v>488</v>
      </c>
      <c r="I146" t="s">
        <v>76</v>
      </c>
    </row>
    <row r="147" spans="1:9">
      <c r="A147" t="s">
        <v>719</v>
      </c>
      <c r="B147" t="s">
        <v>44</v>
      </c>
      <c r="C147" t="s">
        <v>69</v>
      </c>
      <c r="D147" t="s">
        <v>72</v>
      </c>
      <c r="E147" t="s">
        <v>720</v>
      </c>
      <c r="F147" t="s">
        <v>721</v>
      </c>
      <c r="G147" t="s">
        <v>722</v>
      </c>
      <c r="H147" t="s">
        <v>723</v>
      </c>
      <c r="I147" t="s">
        <v>76</v>
      </c>
    </row>
    <row r="148" spans="1:9">
      <c r="A148" t="s">
        <v>724</v>
      </c>
      <c r="B148" t="s">
        <v>44</v>
      </c>
      <c r="C148" t="s">
        <v>77</v>
      </c>
      <c r="D148" t="s">
        <v>72</v>
      </c>
      <c r="E148" t="s">
        <v>232</v>
      </c>
      <c r="F148" t="s">
        <v>725</v>
      </c>
      <c r="G148" t="s">
        <v>726</v>
      </c>
      <c r="H148" t="s">
        <v>727</v>
      </c>
      <c r="I148" t="s">
        <v>76</v>
      </c>
    </row>
    <row r="149" spans="1:9">
      <c r="A149" t="s">
        <v>728</v>
      </c>
      <c r="B149" t="s">
        <v>44</v>
      </c>
      <c r="C149" t="s">
        <v>69</v>
      </c>
      <c r="D149" t="s">
        <v>112</v>
      </c>
      <c r="E149" t="s">
        <v>295</v>
      </c>
      <c r="F149" t="s">
        <v>729</v>
      </c>
      <c r="G149" t="s">
        <v>730</v>
      </c>
      <c r="H149" t="s">
        <v>731</v>
      </c>
      <c r="I149" t="s">
        <v>76</v>
      </c>
    </row>
    <row r="150" spans="1:9">
      <c r="A150" t="s">
        <v>732</v>
      </c>
      <c r="B150" t="s">
        <v>44</v>
      </c>
      <c r="C150" t="s">
        <v>116</v>
      </c>
      <c r="D150" t="s">
        <v>104</v>
      </c>
      <c r="E150" t="s">
        <v>733</v>
      </c>
      <c r="F150" t="s">
        <v>734</v>
      </c>
      <c r="G150" t="s">
        <v>735</v>
      </c>
      <c r="H150" t="s">
        <v>488</v>
      </c>
      <c r="I150" t="s">
        <v>76</v>
      </c>
    </row>
    <row r="151" spans="1:9">
      <c r="A151" t="s">
        <v>736</v>
      </c>
      <c r="B151" t="s">
        <v>44</v>
      </c>
      <c r="C151" t="s">
        <v>110</v>
      </c>
      <c r="D151" t="s">
        <v>72</v>
      </c>
      <c r="E151" t="s">
        <v>147</v>
      </c>
      <c r="F151" t="s">
        <v>737</v>
      </c>
      <c r="G151" t="s">
        <v>738</v>
      </c>
      <c r="H151" t="s">
        <v>739</v>
      </c>
      <c r="I151" t="s">
        <v>76</v>
      </c>
    </row>
    <row r="152" spans="1:9">
      <c r="A152" t="s">
        <v>740</v>
      </c>
      <c r="B152" t="s">
        <v>44</v>
      </c>
      <c r="C152" t="s">
        <v>77</v>
      </c>
      <c r="D152" t="s">
        <v>80</v>
      </c>
      <c r="E152" t="s">
        <v>741</v>
      </c>
      <c r="F152" t="s">
        <v>742</v>
      </c>
      <c r="G152" t="s">
        <v>743</v>
      </c>
      <c r="H152" t="s">
        <v>744</v>
      </c>
      <c r="I152" t="s">
        <v>76</v>
      </c>
    </row>
    <row r="153" spans="1:9">
      <c r="A153" t="s">
        <v>745</v>
      </c>
      <c r="B153" t="s">
        <v>44</v>
      </c>
      <c r="C153" t="s">
        <v>86</v>
      </c>
      <c r="D153" t="s">
        <v>72</v>
      </c>
      <c r="E153" t="s">
        <v>147</v>
      </c>
      <c r="F153" t="s">
        <v>746</v>
      </c>
      <c r="G153" t="s">
        <v>747</v>
      </c>
      <c r="H153" t="s">
        <v>748</v>
      </c>
      <c r="I153" t="s">
        <v>76</v>
      </c>
    </row>
    <row r="154" spans="1:9">
      <c r="A154" t="s">
        <v>749</v>
      </c>
      <c r="B154" t="s">
        <v>44</v>
      </c>
      <c r="C154" t="s">
        <v>69</v>
      </c>
      <c r="D154" t="s">
        <v>72</v>
      </c>
      <c r="E154" t="s">
        <v>750</v>
      </c>
      <c r="F154" t="s">
        <v>751</v>
      </c>
      <c r="G154" t="s">
        <v>752</v>
      </c>
      <c r="H154" t="s">
        <v>488</v>
      </c>
      <c r="I154" t="s">
        <v>76</v>
      </c>
    </row>
    <row r="155" spans="1:9">
      <c r="A155" t="s">
        <v>749</v>
      </c>
      <c r="B155" t="s">
        <v>44</v>
      </c>
      <c r="C155" t="s">
        <v>69</v>
      </c>
      <c r="D155" t="s">
        <v>72</v>
      </c>
      <c r="E155" t="s">
        <v>147</v>
      </c>
      <c r="F155" t="s">
        <v>753</v>
      </c>
      <c r="G155" t="s">
        <v>488</v>
      </c>
      <c r="H155" t="s">
        <v>754</v>
      </c>
      <c r="I155" t="s">
        <v>76</v>
      </c>
    </row>
    <row r="156" spans="1:9">
      <c r="A156" t="s">
        <v>755</v>
      </c>
      <c r="B156" t="s">
        <v>44</v>
      </c>
      <c r="C156" t="s">
        <v>102</v>
      </c>
      <c r="D156" t="s">
        <v>72</v>
      </c>
      <c r="E156" t="s">
        <v>147</v>
      </c>
      <c r="F156" t="s">
        <v>756</v>
      </c>
      <c r="G156" t="s">
        <v>757</v>
      </c>
      <c r="H156" t="s">
        <v>758</v>
      </c>
      <c r="I156" t="s">
        <v>76</v>
      </c>
    </row>
    <row r="157" spans="1:9">
      <c r="A157" t="s">
        <v>759</v>
      </c>
      <c r="B157" t="s">
        <v>44</v>
      </c>
      <c r="C157" t="s">
        <v>69</v>
      </c>
      <c r="D157" t="s">
        <v>108</v>
      </c>
      <c r="E157" t="s">
        <v>760</v>
      </c>
      <c r="F157" t="s">
        <v>761</v>
      </c>
      <c r="G157" t="s">
        <v>762</v>
      </c>
      <c r="H157" t="s">
        <v>488</v>
      </c>
      <c r="I157" t="s">
        <v>76</v>
      </c>
    </row>
    <row r="158" spans="1:9">
      <c r="A158" t="s">
        <v>763</v>
      </c>
      <c r="B158" t="s">
        <v>44</v>
      </c>
      <c r="C158" t="s">
        <v>102</v>
      </c>
      <c r="D158" t="s">
        <v>80</v>
      </c>
      <c r="E158" t="s">
        <v>764</v>
      </c>
      <c r="F158" t="s">
        <v>765</v>
      </c>
      <c r="G158" t="s">
        <v>766</v>
      </c>
      <c r="H158" t="s">
        <v>767</v>
      </c>
      <c r="I158" t="s">
        <v>76</v>
      </c>
    </row>
    <row r="159" spans="1:9">
      <c r="A159" t="s">
        <v>768</v>
      </c>
      <c r="B159" t="s">
        <v>44</v>
      </c>
      <c r="C159" t="s">
        <v>86</v>
      </c>
      <c r="D159" t="s">
        <v>72</v>
      </c>
      <c r="E159" t="s">
        <v>147</v>
      </c>
      <c r="F159" t="s">
        <v>769</v>
      </c>
      <c r="G159" t="s">
        <v>488</v>
      </c>
      <c r="H159" t="s">
        <v>488</v>
      </c>
      <c r="I159" t="s">
        <v>76</v>
      </c>
    </row>
    <row r="160" spans="1:9">
      <c r="A160" t="s">
        <v>770</v>
      </c>
      <c r="B160" t="s">
        <v>44</v>
      </c>
      <c r="C160" t="s">
        <v>106</v>
      </c>
      <c r="D160" t="s">
        <v>118</v>
      </c>
      <c r="E160" t="s">
        <v>771</v>
      </c>
      <c r="F160" t="s">
        <v>772</v>
      </c>
      <c r="G160" t="s">
        <v>488</v>
      </c>
      <c r="H160" t="s">
        <v>773</v>
      </c>
      <c r="I160" t="s">
        <v>76</v>
      </c>
    </row>
    <row r="161" spans="1:9">
      <c r="A161" t="s">
        <v>774</v>
      </c>
      <c r="B161" t="s">
        <v>44</v>
      </c>
      <c r="C161" t="s">
        <v>77</v>
      </c>
      <c r="D161" t="s">
        <v>104</v>
      </c>
      <c r="E161" t="s">
        <v>645</v>
      </c>
      <c r="F161" t="s">
        <v>775</v>
      </c>
      <c r="G161" t="s">
        <v>776</v>
      </c>
      <c r="H161" t="s">
        <v>488</v>
      </c>
      <c r="I161" t="s">
        <v>76</v>
      </c>
    </row>
    <row r="162" spans="1:9">
      <c r="A162" t="s">
        <v>777</v>
      </c>
      <c r="B162" t="s">
        <v>44</v>
      </c>
      <c r="C162" t="s">
        <v>77</v>
      </c>
      <c r="D162" t="s">
        <v>72</v>
      </c>
      <c r="E162" t="s">
        <v>139</v>
      </c>
      <c r="F162" t="s">
        <v>778</v>
      </c>
      <c r="G162" t="s">
        <v>779</v>
      </c>
      <c r="H162" t="s">
        <v>780</v>
      </c>
      <c r="I162" t="s">
        <v>76</v>
      </c>
    </row>
    <row r="163" spans="1:9">
      <c r="A163" t="s">
        <v>781</v>
      </c>
      <c r="B163" t="s">
        <v>44</v>
      </c>
      <c r="C163" t="s">
        <v>106</v>
      </c>
      <c r="D163" t="s">
        <v>80</v>
      </c>
      <c r="E163" t="s">
        <v>782</v>
      </c>
      <c r="F163" t="s">
        <v>783</v>
      </c>
      <c r="G163" t="s">
        <v>784</v>
      </c>
      <c r="H163" t="s">
        <v>488</v>
      </c>
      <c r="I163" t="s">
        <v>76</v>
      </c>
    </row>
    <row r="164" spans="1:9">
      <c r="A164" t="s">
        <v>785</v>
      </c>
      <c r="B164" t="s">
        <v>44</v>
      </c>
      <c r="C164" t="s">
        <v>77</v>
      </c>
      <c r="D164" t="s">
        <v>98</v>
      </c>
      <c r="E164" t="s">
        <v>163</v>
      </c>
      <c r="F164" t="s">
        <v>786</v>
      </c>
      <c r="G164" t="s">
        <v>787</v>
      </c>
      <c r="H164" t="s">
        <v>788</v>
      </c>
      <c r="I164" t="s">
        <v>76</v>
      </c>
    </row>
    <row r="165" spans="1:9">
      <c r="A165" t="s">
        <v>789</v>
      </c>
      <c r="B165" t="s">
        <v>44</v>
      </c>
      <c r="C165" t="s">
        <v>77</v>
      </c>
      <c r="D165" t="s">
        <v>72</v>
      </c>
      <c r="E165" t="s">
        <v>143</v>
      </c>
      <c r="F165" t="s">
        <v>790</v>
      </c>
      <c r="G165" t="s">
        <v>488</v>
      </c>
      <c r="H165" t="s">
        <v>791</v>
      </c>
      <c r="I165" t="s">
        <v>76</v>
      </c>
    </row>
    <row r="166" spans="1:9">
      <c r="A166" t="s">
        <v>792</v>
      </c>
      <c r="B166" t="s">
        <v>44</v>
      </c>
      <c r="C166" t="s">
        <v>110</v>
      </c>
      <c r="D166" t="s">
        <v>98</v>
      </c>
      <c r="E166" t="s">
        <v>163</v>
      </c>
      <c r="F166" t="s">
        <v>793</v>
      </c>
      <c r="G166" t="s">
        <v>794</v>
      </c>
      <c r="H166" t="s">
        <v>795</v>
      </c>
      <c r="I166" t="s">
        <v>76</v>
      </c>
    </row>
    <row r="167" spans="1:9">
      <c r="A167" t="s">
        <v>796</v>
      </c>
      <c r="B167" t="s">
        <v>44</v>
      </c>
      <c r="C167" t="s">
        <v>77</v>
      </c>
      <c r="D167" t="s">
        <v>89</v>
      </c>
      <c r="E167" t="s">
        <v>408</v>
      </c>
      <c r="F167" t="s">
        <v>797</v>
      </c>
      <c r="G167" t="s">
        <v>488</v>
      </c>
      <c r="H167" t="s">
        <v>798</v>
      </c>
      <c r="I167" t="s">
        <v>76</v>
      </c>
    </row>
    <row r="168" spans="1:9">
      <c r="A168" t="s">
        <v>799</v>
      </c>
      <c r="B168" t="s">
        <v>44</v>
      </c>
      <c r="C168" t="s">
        <v>69</v>
      </c>
      <c r="D168" t="s">
        <v>72</v>
      </c>
      <c r="E168" t="s">
        <v>800</v>
      </c>
      <c r="F168" t="s">
        <v>801</v>
      </c>
      <c r="G168" t="s">
        <v>802</v>
      </c>
      <c r="H168" t="s">
        <v>803</v>
      </c>
      <c r="I168" t="s">
        <v>76</v>
      </c>
    </row>
    <row r="169" spans="1:9">
      <c r="A169" t="s">
        <v>804</v>
      </c>
      <c r="B169" t="s">
        <v>44</v>
      </c>
      <c r="C169" t="s">
        <v>102</v>
      </c>
      <c r="D169" t="s">
        <v>72</v>
      </c>
      <c r="E169" t="s">
        <v>147</v>
      </c>
      <c r="F169" t="s">
        <v>805</v>
      </c>
      <c r="G169" t="s">
        <v>806</v>
      </c>
      <c r="H169" t="s">
        <v>807</v>
      </c>
      <c r="I169" t="s">
        <v>76</v>
      </c>
    </row>
    <row r="170" spans="1:9">
      <c r="A170" t="s">
        <v>808</v>
      </c>
      <c r="B170" t="s">
        <v>44</v>
      </c>
      <c r="C170" t="s">
        <v>116</v>
      </c>
      <c r="D170" t="s">
        <v>72</v>
      </c>
      <c r="E170" t="s">
        <v>217</v>
      </c>
      <c r="F170" t="s">
        <v>809</v>
      </c>
      <c r="G170" t="s">
        <v>810</v>
      </c>
      <c r="H170" t="s">
        <v>811</v>
      </c>
      <c r="I170" t="s">
        <v>76</v>
      </c>
    </row>
    <row r="171" spans="1:9">
      <c r="A171" t="s">
        <v>812</v>
      </c>
      <c r="B171" t="s">
        <v>44</v>
      </c>
      <c r="C171" t="s">
        <v>102</v>
      </c>
      <c r="D171" t="s">
        <v>72</v>
      </c>
      <c r="E171" t="s">
        <v>813</v>
      </c>
      <c r="F171" t="s">
        <v>814</v>
      </c>
      <c r="G171" t="s">
        <v>815</v>
      </c>
      <c r="H171" t="s">
        <v>488</v>
      </c>
      <c r="I171" t="s">
        <v>76</v>
      </c>
    </row>
    <row r="172" spans="1:9">
      <c r="A172" t="s">
        <v>816</v>
      </c>
      <c r="B172" t="s">
        <v>44</v>
      </c>
      <c r="C172" t="s">
        <v>95</v>
      </c>
      <c r="D172" t="s">
        <v>118</v>
      </c>
      <c r="E172" t="s">
        <v>817</v>
      </c>
      <c r="F172" t="s">
        <v>818</v>
      </c>
      <c r="G172" t="s">
        <v>819</v>
      </c>
      <c r="H172" t="s">
        <v>488</v>
      </c>
      <c r="I172" t="s">
        <v>76</v>
      </c>
    </row>
    <row r="173" spans="1:9">
      <c r="A173" t="s">
        <v>820</v>
      </c>
      <c r="B173" t="s">
        <v>44</v>
      </c>
      <c r="C173" t="s">
        <v>102</v>
      </c>
      <c r="D173" t="s">
        <v>98</v>
      </c>
      <c r="E173" t="s">
        <v>821</v>
      </c>
      <c r="F173" t="s">
        <v>822</v>
      </c>
      <c r="G173" t="s">
        <v>823</v>
      </c>
      <c r="H173" t="s">
        <v>824</v>
      </c>
      <c r="I173" t="s">
        <v>76</v>
      </c>
    </row>
    <row r="174" spans="1:9">
      <c r="A174" t="s">
        <v>825</v>
      </c>
      <c r="B174" t="s">
        <v>44</v>
      </c>
      <c r="C174" t="s">
        <v>69</v>
      </c>
      <c r="D174" t="s">
        <v>72</v>
      </c>
      <c r="E174" t="s">
        <v>826</v>
      </c>
      <c r="F174" t="s">
        <v>827</v>
      </c>
      <c r="G174" t="s">
        <v>828</v>
      </c>
      <c r="H174" t="s">
        <v>829</v>
      </c>
      <c r="I174" t="s">
        <v>76</v>
      </c>
    </row>
    <row r="175" spans="1:9">
      <c r="A175" t="s">
        <v>830</v>
      </c>
      <c r="B175" t="s">
        <v>44</v>
      </c>
      <c r="C175" t="s">
        <v>102</v>
      </c>
      <c r="D175" t="s">
        <v>72</v>
      </c>
      <c r="E175" t="s">
        <v>147</v>
      </c>
      <c r="F175" t="s">
        <v>831</v>
      </c>
      <c r="G175" t="s">
        <v>832</v>
      </c>
      <c r="H175" t="s">
        <v>488</v>
      </c>
      <c r="I175" t="s">
        <v>76</v>
      </c>
    </row>
    <row r="176" spans="1:9">
      <c r="A176" t="s">
        <v>833</v>
      </c>
      <c r="B176" t="s">
        <v>44</v>
      </c>
      <c r="C176" t="s">
        <v>69</v>
      </c>
      <c r="D176" t="s">
        <v>72</v>
      </c>
      <c r="E176" t="s">
        <v>834</v>
      </c>
      <c r="F176" t="s">
        <v>835</v>
      </c>
      <c r="G176" t="s">
        <v>836</v>
      </c>
      <c r="H176" t="s">
        <v>837</v>
      </c>
      <c r="I176" t="s">
        <v>76</v>
      </c>
    </row>
    <row r="177" spans="1:9">
      <c r="A177" t="s">
        <v>838</v>
      </c>
      <c r="B177" t="s">
        <v>44</v>
      </c>
      <c r="C177" t="s">
        <v>102</v>
      </c>
      <c r="D177" t="s">
        <v>72</v>
      </c>
      <c r="E177" t="s">
        <v>143</v>
      </c>
      <c r="F177" t="s">
        <v>839</v>
      </c>
      <c r="G177" t="s">
        <v>840</v>
      </c>
      <c r="H177" t="s">
        <v>841</v>
      </c>
      <c r="I177" t="s">
        <v>76</v>
      </c>
    </row>
    <row r="178" spans="1:9">
      <c r="A178" t="s">
        <v>842</v>
      </c>
      <c r="B178" t="s">
        <v>44</v>
      </c>
      <c r="C178" t="s">
        <v>110</v>
      </c>
      <c r="D178" t="s">
        <v>72</v>
      </c>
      <c r="E178" t="s">
        <v>147</v>
      </c>
      <c r="F178" t="s">
        <v>843</v>
      </c>
      <c r="G178" t="s">
        <v>844</v>
      </c>
      <c r="H178" t="s">
        <v>845</v>
      </c>
      <c r="I178" t="s">
        <v>76</v>
      </c>
    </row>
    <row r="179" spans="1:9">
      <c r="A179" t="s">
        <v>846</v>
      </c>
      <c r="B179" t="s">
        <v>44</v>
      </c>
      <c r="C179" t="s">
        <v>102</v>
      </c>
      <c r="D179" t="s">
        <v>119</v>
      </c>
      <c r="E179" t="s">
        <v>437</v>
      </c>
      <c r="F179" t="s">
        <v>847</v>
      </c>
      <c r="G179" t="s">
        <v>848</v>
      </c>
      <c r="H179" t="s">
        <v>488</v>
      </c>
      <c r="I179" t="s">
        <v>76</v>
      </c>
    </row>
    <row r="180" spans="1:9">
      <c r="A180" t="s">
        <v>849</v>
      </c>
      <c r="B180" t="s">
        <v>44</v>
      </c>
      <c r="C180" t="s">
        <v>102</v>
      </c>
      <c r="D180" t="s">
        <v>72</v>
      </c>
      <c r="E180" t="s">
        <v>279</v>
      </c>
      <c r="F180" t="s">
        <v>850</v>
      </c>
      <c r="G180" t="s">
        <v>851</v>
      </c>
      <c r="H180" t="s">
        <v>488</v>
      </c>
      <c r="I180" t="s">
        <v>76</v>
      </c>
    </row>
    <row r="181" spans="1:9">
      <c r="A181" t="s">
        <v>852</v>
      </c>
      <c r="B181" t="s">
        <v>44</v>
      </c>
      <c r="C181" t="s">
        <v>69</v>
      </c>
      <c r="D181" t="s">
        <v>80</v>
      </c>
      <c r="E181" t="s">
        <v>853</v>
      </c>
      <c r="F181" t="s">
        <v>854</v>
      </c>
      <c r="G181" t="s">
        <v>855</v>
      </c>
      <c r="H181" t="s">
        <v>856</v>
      </c>
      <c r="I181" t="s">
        <v>76</v>
      </c>
    </row>
    <row r="182" spans="1:9">
      <c r="A182" t="s">
        <v>857</v>
      </c>
      <c r="B182" t="s">
        <v>44</v>
      </c>
      <c r="C182" t="s">
        <v>102</v>
      </c>
      <c r="D182" t="s">
        <v>119</v>
      </c>
      <c r="E182" t="s">
        <v>858</v>
      </c>
      <c r="F182" t="s">
        <v>859</v>
      </c>
      <c r="G182" t="s">
        <v>860</v>
      </c>
      <c r="H182" t="s">
        <v>861</v>
      </c>
      <c r="I182" t="s">
        <v>76</v>
      </c>
    </row>
    <row r="183" spans="1:9">
      <c r="A183" t="s">
        <v>862</v>
      </c>
      <c r="B183" t="s">
        <v>44</v>
      </c>
      <c r="C183" t="s">
        <v>102</v>
      </c>
      <c r="D183" t="s">
        <v>72</v>
      </c>
      <c r="E183" t="s">
        <v>863</v>
      </c>
      <c r="F183" t="s">
        <v>864</v>
      </c>
      <c r="G183" t="s">
        <v>865</v>
      </c>
      <c r="H183" t="s">
        <v>866</v>
      </c>
      <c r="I183" t="s">
        <v>76</v>
      </c>
    </row>
    <row r="184" spans="1:9">
      <c r="A184" t="s">
        <v>867</v>
      </c>
      <c r="B184" t="s">
        <v>44</v>
      </c>
      <c r="C184" t="s">
        <v>106</v>
      </c>
      <c r="D184" t="s">
        <v>108</v>
      </c>
      <c r="E184" t="s">
        <v>868</v>
      </c>
      <c r="F184" t="s">
        <v>869</v>
      </c>
      <c r="G184" t="s">
        <v>870</v>
      </c>
      <c r="H184" t="s">
        <v>871</v>
      </c>
      <c r="I184" t="s">
        <v>76</v>
      </c>
    </row>
    <row r="185" spans="1:9">
      <c r="A185" t="s">
        <v>872</v>
      </c>
      <c r="B185" t="s">
        <v>44</v>
      </c>
      <c r="C185" t="s">
        <v>106</v>
      </c>
      <c r="D185" t="s">
        <v>72</v>
      </c>
      <c r="E185" t="s">
        <v>873</v>
      </c>
      <c r="F185" t="s">
        <v>874</v>
      </c>
      <c r="G185" t="s">
        <v>875</v>
      </c>
      <c r="H185" t="s">
        <v>488</v>
      </c>
      <c r="I185" t="s">
        <v>76</v>
      </c>
    </row>
    <row r="186" spans="1:9">
      <c r="A186" t="s">
        <v>876</v>
      </c>
      <c r="B186" t="s">
        <v>44</v>
      </c>
      <c r="C186" t="s">
        <v>69</v>
      </c>
      <c r="D186" t="s">
        <v>72</v>
      </c>
      <c r="E186" t="s">
        <v>143</v>
      </c>
      <c r="F186" t="s">
        <v>877</v>
      </c>
      <c r="G186" t="s">
        <v>878</v>
      </c>
      <c r="H186" t="s">
        <v>488</v>
      </c>
      <c r="I186" t="s">
        <v>76</v>
      </c>
    </row>
    <row r="187" spans="1:9">
      <c r="A187" t="s">
        <v>879</v>
      </c>
      <c r="B187" t="s">
        <v>44</v>
      </c>
      <c r="C187" t="s">
        <v>69</v>
      </c>
      <c r="D187" t="s">
        <v>72</v>
      </c>
      <c r="E187" t="s">
        <v>192</v>
      </c>
      <c r="F187" t="s">
        <v>880</v>
      </c>
      <c r="G187" t="s">
        <v>881</v>
      </c>
      <c r="H187" t="s">
        <v>882</v>
      </c>
      <c r="I187" t="s">
        <v>76</v>
      </c>
    </row>
    <row r="188" spans="1:9">
      <c r="A188" t="s">
        <v>883</v>
      </c>
      <c r="B188" t="s">
        <v>44</v>
      </c>
      <c r="C188" t="s">
        <v>69</v>
      </c>
      <c r="D188" t="s">
        <v>72</v>
      </c>
      <c r="E188" t="s">
        <v>217</v>
      </c>
      <c r="F188" t="s">
        <v>884</v>
      </c>
      <c r="G188" t="s">
        <v>885</v>
      </c>
      <c r="H188" t="s">
        <v>488</v>
      </c>
      <c r="I188" t="s">
        <v>76</v>
      </c>
    </row>
    <row r="189" spans="1:9">
      <c r="A189" t="s">
        <v>886</v>
      </c>
      <c r="B189" t="s">
        <v>44</v>
      </c>
      <c r="C189" t="s">
        <v>69</v>
      </c>
      <c r="D189" t="s">
        <v>72</v>
      </c>
      <c r="E189" t="s">
        <v>887</v>
      </c>
      <c r="F189" t="s">
        <v>888</v>
      </c>
      <c r="G189" t="s">
        <v>889</v>
      </c>
      <c r="H189" t="s">
        <v>488</v>
      </c>
      <c r="I189" t="s">
        <v>76</v>
      </c>
    </row>
    <row r="190" spans="1:9">
      <c r="A190" t="s">
        <v>890</v>
      </c>
      <c r="B190" t="s">
        <v>44</v>
      </c>
      <c r="C190" t="s">
        <v>77</v>
      </c>
      <c r="D190" t="s">
        <v>72</v>
      </c>
      <c r="E190" t="s">
        <v>217</v>
      </c>
      <c r="F190" t="s">
        <v>891</v>
      </c>
      <c r="G190" t="s">
        <v>892</v>
      </c>
      <c r="H190" t="s">
        <v>893</v>
      </c>
      <c r="I190" t="s">
        <v>76</v>
      </c>
    </row>
    <row r="191" spans="1:9">
      <c r="A191" t="s">
        <v>894</v>
      </c>
      <c r="B191" t="s">
        <v>44</v>
      </c>
      <c r="C191" t="s">
        <v>77</v>
      </c>
      <c r="D191" t="s">
        <v>72</v>
      </c>
      <c r="E191" t="s">
        <v>895</v>
      </c>
      <c r="F191" t="s">
        <v>896</v>
      </c>
      <c r="G191" t="s">
        <v>897</v>
      </c>
      <c r="H191" t="s">
        <v>488</v>
      </c>
      <c r="I191" t="s">
        <v>76</v>
      </c>
    </row>
    <row r="192" spans="1:9">
      <c r="A192" t="s">
        <v>898</v>
      </c>
      <c r="B192" t="s">
        <v>44</v>
      </c>
      <c r="C192" t="s">
        <v>77</v>
      </c>
      <c r="D192" t="s">
        <v>72</v>
      </c>
      <c r="E192" t="s">
        <v>287</v>
      </c>
      <c r="F192" t="s">
        <v>899</v>
      </c>
      <c r="G192" t="s">
        <v>900</v>
      </c>
      <c r="H192" t="s">
        <v>488</v>
      </c>
      <c r="I192" t="s">
        <v>76</v>
      </c>
    </row>
    <row r="193" spans="1:9">
      <c r="A193" t="s">
        <v>901</v>
      </c>
      <c r="B193" t="s">
        <v>44</v>
      </c>
      <c r="C193" t="s">
        <v>95</v>
      </c>
      <c r="D193" t="s">
        <v>72</v>
      </c>
      <c r="E193" t="s">
        <v>863</v>
      </c>
      <c r="F193" t="s">
        <v>902</v>
      </c>
      <c r="G193" t="s">
        <v>903</v>
      </c>
      <c r="H193" t="s">
        <v>904</v>
      </c>
      <c r="I193" t="s">
        <v>76</v>
      </c>
    </row>
    <row r="194" spans="1:9">
      <c r="A194" t="s">
        <v>905</v>
      </c>
      <c r="B194" t="s">
        <v>44</v>
      </c>
      <c r="C194" t="s">
        <v>110</v>
      </c>
      <c r="D194" t="s">
        <v>72</v>
      </c>
      <c r="E194" t="s">
        <v>147</v>
      </c>
      <c r="F194" t="s">
        <v>906</v>
      </c>
      <c r="G194" t="s">
        <v>907</v>
      </c>
      <c r="H194" t="s">
        <v>908</v>
      </c>
      <c r="I194" t="s">
        <v>76</v>
      </c>
    </row>
    <row r="195" spans="1:9">
      <c r="A195" t="s">
        <v>909</v>
      </c>
      <c r="B195" t="s">
        <v>44</v>
      </c>
      <c r="C195" t="s">
        <v>69</v>
      </c>
      <c r="D195" t="s">
        <v>72</v>
      </c>
      <c r="E195" t="s">
        <v>750</v>
      </c>
      <c r="F195" t="s">
        <v>910</v>
      </c>
      <c r="G195" t="s">
        <v>911</v>
      </c>
      <c r="H195" t="s">
        <v>912</v>
      </c>
      <c r="I195" t="s">
        <v>76</v>
      </c>
    </row>
    <row r="196" spans="1:9">
      <c r="A196" t="s">
        <v>913</v>
      </c>
      <c r="B196" t="s">
        <v>44</v>
      </c>
      <c r="C196" t="s">
        <v>116</v>
      </c>
      <c r="D196" t="s">
        <v>72</v>
      </c>
      <c r="E196" t="s">
        <v>914</v>
      </c>
      <c r="F196" t="s">
        <v>915</v>
      </c>
      <c r="G196" t="s">
        <v>916</v>
      </c>
      <c r="H196" t="s">
        <v>488</v>
      </c>
      <c r="I196" t="s">
        <v>76</v>
      </c>
    </row>
    <row r="197" spans="1:9">
      <c r="A197" t="s">
        <v>917</v>
      </c>
      <c r="B197" t="s">
        <v>44</v>
      </c>
      <c r="C197" t="s">
        <v>69</v>
      </c>
      <c r="D197" t="s">
        <v>72</v>
      </c>
      <c r="E197" t="s">
        <v>800</v>
      </c>
      <c r="F197" t="s">
        <v>918</v>
      </c>
      <c r="G197" t="s">
        <v>919</v>
      </c>
      <c r="H197" t="s">
        <v>920</v>
      </c>
      <c r="I197" t="s">
        <v>76</v>
      </c>
    </row>
    <row r="198" spans="1:9">
      <c r="A198" t="s">
        <v>921</v>
      </c>
      <c r="B198" t="s">
        <v>44</v>
      </c>
      <c r="C198" t="s">
        <v>77</v>
      </c>
      <c r="D198" t="s">
        <v>121</v>
      </c>
      <c r="E198" t="s">
        <v>922</v>
      </c>
      <c r="F198" t="s">
        <v>923</v>
      </c>
      <c r="G198" t="s">
        <v>924</v>
      </c>
      <c r="H198" t="s">
        <v>488</v>
      </c>
      <c r="I198" t="s">
        <v>76</v>
      </c>
    </row>
    <row r="199" spans="1:9">
      <c r="A199" t="s">
        <v>925</v>
      </c>
      <c r="B199" t="s">
        <v>44</v>
      </c>
      <c r="C199" t="s">
        <v>77</v>
      </c>
      <c r="D199" t="s">
        <v>72</v>
      </c>
      <c r="E199" t="s">
        <v>545</v>
      </c>
      <c r="F199" t="s">
        <v>926</v>
      </c>
      <c r="G199" t="s">
        <v>927</v>
      </c>
      <c r="H199" t="s">
        <v>928</v>
      </c>
      <c r="I199" t="s">
        <v>76</v>
      </c>
    </row>
    <row r="200" spans="1:9">
      <c r="A200" t="s">
        <v>929</v>
      </c>
      <c r="B200" t="s">
        <v>44</v>
      </c>
      <c r="C200" t="s">
        <v>116</v>
      </c>
      <c r="D200" t="s">
        <v>930</v>
      </c>
      <c r="E200" t="s">
        <v>931</v>
      </c>
      <c r="F200" t="s">
        <v>932</v>
      </c>
      <c r="G200" t="s">
        <v>933</v>
      </c>
      <c r="H200" t="s">
        <v>488</v>
      </c>
      <c r="I200" t="s">
        <v>76</v>
      </c>
    </row>
    <row r="201" spans="1:9">
      <c r="A201" t="s">
        <v>934</v>
      </c>
      <c r="B201" t="s">
        <v>44</v>
      </c>
      <c r="C201" t="s">
        <v>110</v>
      </c>
      <c r="D201" t="s">
        <v>72</v>
      </c>
      <c r="E201" t="s">
        <v>147</v>
      </c>
      <c r="F201" t="s">
        <v>935</v>
      </c>
      <c r="G201" t="s">
        <v>936</v>
      </c>
      <c r="H201" t="s">
        <v>937</v>
      </c>
      <c r="I201" t="s">
        <v>76</v>
      </c>
    </row>
    <row r="202" spans="1:9">
      <c r="A202" t="s">
        <v>938</v>
      </c>
      <c r="B202" t="s">
        <v>44</v>
      </c>
      <c r="C202" t="s">
        <v>77</v>
      </c>
      <c r="D202" t="s">
        <v>72</v>
      </c>
      <c r="E202" t="s">
        <v>369</v>
      </c>
      <c r="F202" t="s">
        <v>939</v>
      </c>
      <c r="G202" t="s">
        <v>940</v>
      </c>
      <c r="I202" t="s">
        <v>76</v>
      </c>
    </row>
    <row r="203" spans="1:9">
      <c r="A203" t="s">
        <v>941</v>
      </c>
      <c r="B203" t="s">
        <v>44</v>
      </c>
      <c r="C203" t="s">
        <v>95</v>
      </c>
      <c r="D203" t="s">
        <v>72</v>
      </c>
      <c r="E203" t="s">
        <v>501</v>
      </c>
      <c r="F203" t="s">
        <v>942</v>
      </c>
      <c r="G203" t="s">
        <v>488</v>
      </c>
      <c r="I203" t="s">
        <v>76</v>
      </c>
    </row>
    <row r="204" spans="1:9">
      <c r="A204" t="s">
        <v>943</v>
      </c>
      <c r="B204" t="s">
        <v>44</v>
      </c>
      <c r="C204" t="s">
        <v>69</v>
      </c>
      <c r="D204" t="s">
        <v>72</v>
      </c>
      <c r="E204" t="s">
        <v>887</v>
      </c>
      <c r="F204" t="s">
        <v>944</v>
      </c>
      <c r="G204" t="s">
        <v>945</v>
      </c>
      <c r="H204" t="s">
        <v>946</v>
      </c>
      <c r="I204" t="s">
        <v>76</v>
      </c>
    </row>
    <row r="205" spans="1:9">
      <c r="A205" t="s">
        <v>947</v>
      </c>
      <c r="B205" t="s">
        <v>44</v>
      </c>
      <c r="C205" t="s">
        <v>86</v>
      </c>
      <c r="D205" t="s">
        <v>72</v>
      </c>
      <c r="E205" t="s">
        <v>147</v>
      </c>
      <c r="F205" t="s">
        <v>948</v>
      </c>
      <c r="G205" t="s">
        <v>949</v>
      </c>
      <c r="H205" t="s">
        <v>950</v>
      </c>
      <c r="I205" t="s">
        <v>76</v>
      </c>
    </row>
    <row r="206" spans="1:9">
      <c r="A206" t="s">
        <v>951</v>
      </c>
      <c r="B206" t="s">
        <v>44</v>
      </c>
      <c r="C206" t="s">
        <v>69</v>
      </c>
      <c r="D206" t="s">
        <v>72</v>
      </c>
      <c r="E206" t="s">
        <v>147</v>
      </c>
      <c r="F206" t="s">
        <v>952</v>
      </c>
      <c r="G206" t="s">
        <v>953</v>
      </c>
      <c r="H206" t="s">
        <v>954</v>
      </c>
      <c r="I206" t="s">
        <v>76</v>
      </c>
    </row>
    <row r="207" spans="1:9">
      <c r="A207" t="s">
        <v>955</v>
      </c>
      <c r="B207" t="s">
        <v>44</v>
      </c>
      <c r="C207" t="s">
        <v>86</v>
      </c>
      <c r="D207" t="s">
        <v>72</v>
      </c>
      <c r="E207" t="s">
        <v>139</v>
      </c>
      <c r="F207" t="s">
        <v>956</v>
      </c>
      <c r="G207" t="s">
        <v>957</v>
      </c>
      <c r="H207" t="s">
        <v>958</v>
      </c>
      <c r="I207" t="s">
        <v>76</v>
      </c>
    </row>
    <row r="208" spans="1:9">
      <c r="A208" t="s">
        <v>959</v>
      </c>
      <c r="B208" t="s">
        <v>44</v>
      </c>
      <c r="C208" t="s">
        <v>102</v>
      </c>
      <c r="D208" t="s">
        <v>104</v>
      </c>
      <c r="E208" t="s">
        <v>960</v>
      </c>
      <c r="F208" t="s">
        <v>961</v>
      </c>
      <c r="G208" t="s">
        <v>962</v>
      </c>
      <c r="H208" t="s">
        <v>963</v>
      </c>
      <c r="I208" t="s">
        <v>76</v>
      </c>
    </row>
    <row r="209" spans="1:9">
      <c r="A209" t="s">
        <v>964</v>
      </c>
      <c r="B209" t="s">
        <v>44</v>
      </c>
      <c r="C209" t="s">
        <v>102</v>
      </c>
      <c r="D209" t="s">
        <v>72</v>
      </c>
      <c r="E209" t="s">
        <v>965</v>
      </c>
      <c r="F209" t="s">
        <v>966</v>
      </c>
      <c r="G209" t="s">
        <v>488</v>
      </c>
      <c r="H209" t="s">
        <v>488</v>
      </c>
      <c r="I209" t="s">
        <v>76</v>
      </c>
    </row>
    <row r="210" spans="1:9">
      <c r="A210" t="s">
        <v>967</v>
      </c>
      <c r="B210" t="s">
        <v>44</v>
      </c>
      <c r="C210" t="s">
        <v>106</v>
      </c>
      <c r="D210" t="s">
        <v>72</v>
      </c>
      <c r="E210" t="s">
        <v>800</v>
      </c>
      <c r="F210" t="s">
        <v>968</v>
      </c>
      <c r="G210" t="s">
        <v>969</v>
      </c>
      <c r="H210" t="s">
        <v>970</v>
      </c>
      <c r="I210" t="s">
        <v>76</v>
      </c>
    </row>
    <row r="211" spans="1:9">
      <c r="A211" t="s">
        <v>971</v>
      </c>
      <c r="B211" t="s">
        <v>44</v>
      </c>
      <c r="C211" t="s">
        <v>86</v>
      </c>
      <c r="D211" t="s">
        <v>72</v>
      </c>
      <c r="E211" t="s">
        <v>139</v>
      </c>
      <c r="F211" t="s">
        <v>972</v>
      </c>
      <c r="G211" t="s">
        <v>973</v>
      </c>
      <c r="H211" t="s">
        <v>488</v>
      </c>
      <c r="I211" t="s">
        <v>76</v>
      </c>
    </row>
    <row r="212" spans="1:9">
      <c r="A212" t="s">
        <v>974</v>
      </c>
      <c r="B212" t="s">
        <v>44</v>
      </c>
      <c r="C212" t="s">
        <v>86</v>
      </c>
      <c r="D212" t="s">
        <v>72</v>
      </c>
      <c r="E212" t="s">
        <v>139</v>
      </c>
      <c r="F212" t="s">
        <v>975</v>
      </c>
      <c r="G212" t="s">
        <v>976</v>
      </c>
      <c r="H212" t="s">
        <v>488</v>
      </c>
      <c r="I212" t="s">
        <v>76</v>
      </c>
    </row>
    <row r="213" spans="1:9">
      <c r="A213" t="s">
        <v>977</v>
      </c>
      <c r="B213" t="s">
        <v>44</v>
      </c>
      <c r="C213" t="s">
        <v>69</v>
      </c>
      <c r="D213" t="s">
        <v>72</v>
      </c>
      <c r="E213" t="s">
        <v>246</v>
      </c>
      <c r="F213" t="s">
        <v>978</v>
      </c>
      <c r="G213" t="s">
        <v>979</v>
      </c>
      <c r="H213" t="s">
        <v>980</v>
      </c>
      <c r="I213" t="s">
        <v>76</v>
      </c>
    </row>
    <row r="214" spans="1:9">
      <c r="A214" t="s">
        <v>981</v>
      </c>
      <c r="B214" t="s">
        <v>44</v>
      </c>
      <c r="C214" t="s">
        <v>69</v>
      </c>
      <c r="D214" t="s">
        <v>72</v>
      </c>
      <c r="E214" t="s">
        <v>982</v>
      </c>
      <c r="F214" t="s">
        <v>983</v>
      </c>
      <c r="G214" t="s">
        <v>984</v>
      </c>
      <c r="H214" t="s">
        <v>985</v>
      </c>
      <c r="I214" t="s">
        <v>76</v>
      </c>
    </row>
    <row r="215" spans="1:9">
      <c r="A215" t="s">
        <v>986</v>
      </c>
      <c r="B215" t="s">
        <v>44</v>
      </c>
      <c r="C215" t="s">
        <v>69</v>
      </c>
      <c r="D215" t="s">
        <v>112</v>
      </c>
      <c r="E215" t="s">
        <v>295</v>
      </c>
      <c r="F215" t="s">
        <v>987</v>
      </c>
      <c r="G215" t="s">
        <v>988</v>
      </c>
      <c r="H215" t="s">
        <v>488</v>
      </c>
      <c r="I215" t="s">
        <v>76</v>
      </c>
    </row>
    <row r="216" spans="1:9">
      <c r="A216" t="s">
        <v>989</v>
      </c>
      <c r="B216" t="s">
        <v>44</v>
      </c>
      <c r="C216" t="s">
        <v>69</v>
      </c>
      <c r="D216" t="s">
        <v>98</v>
      </c>
      <c r="E216" t="s">
        <v>990</v>
      </c>
      <c r="F216" t="s">
        <v>991</v>
      </c>
      <c r="G216" t="s">
        <v>992</v>
      </c>
      <c r="H216" t="s">
        <v>488</v>
      </c>
      <c r="I216" t="s">
        <v>76</v>
      </c>
    </row>
    <row r="217" spans="1:9">
      <c r="A217" t="s">
        <v>993</v>
      </c>
      <c r="B217" t="s">
        <v>44</v>
      </c>
      <c r="C217" t="s">
        <v>69</v>
      </c>
      <c r="D217" t="s">
        <v>72</v>
      </c>
      <c r="E217" t="s">
        <v>352</v>
      </c>
      <c r="F217" t="s">
        <v>994</v>
      </c>
      <c r="G217" t="s">
        <v>995</v>
      </c>
      <c r="H217" t="s">
        <v>996</v>
      </c>
      <c r="I217" t="s">
        <v>76</v>
      </c>
    </row>
    <row r="218" spans="1:9">
      <c r="A218" t="s">
        <v>997</v>
      </c>
      <c r="B218" t="s">
        <v>44</v>
      </c>
      <c r="C218" t="s">
        <v>69</v>
      </c>
      <c r="D218" t="s">
        <v>108</v>
      </c>
      <c r="E218" t="s">
        <v>998</v>
      </c>
      <c r="F218" t="s">
        <v>999</v>
      </c>
      <c r="G218" t="s">
        <v>1000</v>
      </c>
      <c r="H218" t="s">
        <v>1001</v>
      </c>
      <c r="I218" t="s">
        <v>76</v>
      </c>
    </row>
    <row r="219" spans="1:9">
      <c r="A219" t="s">
        <v>1002</v>
      </c>
      <c r="B219" t="s">
        <v>44</v>
      </c>
      <c r="C219" t="s">
        <v>95</v>
      </c>
      <c r="D219" t="s">
        <v>108</v>
      </c>
      <c r="E219" t="s">
        <v>1003</v>
      </c>
      <c r="F219" t="s">
        <v>1004</v>
      </c>
      <c r="G219" t="s">
        <v>488</v>
      </c>
      <c r="H219" t="s">
        <v>488</v>
      </c>
      <c r="I219" t="s">
        <v>76</v>
      </c>
    </row>
    <row r="220" spans="1:9">
      <c r="A220" t="s">
        <v>1005</v>
      </c>
      <c r="B220" t="s">
        <v>44</v>
      </c>
      <c r="C220" t="s">
        <v>95</v>
      </c>
      <c r="D220" t="s">
        <v>72</v>
      </c>
      <c r="E220" t="s">
        <v>197</v>
      </c>
      <c r="F220" t="s">
        <v>1006</v>
      </c>
      <c r="G220" t="s">
        <v>1007</v>
      </c>
      <c r="H220" t="s">
        <v>1008</v>
      </c>
      <c r="I220" t="s">
        <v>76</v>
      </c>
    </row>
    <row r="221" spans="1:9">
      <c r="A221" t="s">
        <v>1009</v>
      </c>
      <c r="B221" t="s">
        <v>44</v>
      </c>
      <c r="C221" t="s">
        <v>69</v>
      </c>
      <c r="D221" t="s">
        <v>72</v>
      </c>
      <c r="E221" t="s">
        <v>337</v>
      </c>
      <c r="F221" t="s">
        <v>1010</v>
      </c>
      <c r="G221" t="s">
        <v>1011</v>
      </c>
      <c r="H221" t="s">
        <v>1012</v>
      </c>
      <c r="I221" t="s">
        <v>76</v>
      </c>
    </row>
    <row r="222" spans="1:9">
      <c r="A222" t="s">
        <v>1013</v>
      </c>
      <c r="B222" t="s">
        <v>44</v>
      </c>
      <c r="C222" t="s">
        <v>69</v>
      </c>
      <c r="D222" t="s">
        <v>89</v>
      </c>
      <c r="E222" t="s">
        <v>1014</v>
      </c>
      <c r="F222" t="s">
        <v>1015</v>
      </c>
      <c r="G222" t="s">
        <v>1016</v>
      </c>
      <c r="H222" t="s">
        <v>1017</v>
      </c>
      <c r="I222" t="s">
        <v>76</v>
      </c>
    </row>
    <row r="223" spans="1:9">
      <c r="A223" t="s">
        <v>1018</v>
      </c>
      <c r="B223" t="s">
        <v>44</v>
      </c>
      <c r="C223" t="s">
        <v>69</v>
      </c>
      <c r="D223" t="s">
        <v>72</v>
      </c>
      <c r="E223" t="s">
        <v>197</v>
      </c>
      <c r="F223" t="s">
        <v>198</v>
      </c>
      <c r="G223" t="s">
        <v>199</v>
      </c>
      <c r="H223" t="s">
        <v>488</v>
      </c>
      <c r="I223" t="s">
        <v>76</v>
      </c>
    </row>
    <row r="224" spans="1:9">
      <c r="A224" t="s">
        <v>1019</v>
      </c>
      <c r="B224" t="s">
        <v>44</v>
      </c>
      <c r="C224" t="s">
        <v>77</v>
      </c>
      <c r="D224" t="s">
        <v>72</v>
      </c>
      <c r="E224" t="s">
        <v>147</v>
      </c>
      <c r="F224" t="s">
        <v>1020</v>
      </c>
      <c r="G224" t="s">
        <v>1021</v>
      </c>
      <c r="H224" t="s">
        <v>488</v>
      </c>
      <c r="I224" t="s">
        <v>76</v>
      </c>
    </row>
    <row r="225" spans="1:9">
      <c r="A225" t="s">
        <v>1022</v>
      </c>
      <c r="B225" t="s">
        <v>44</v>
      </c>
      <c r="C225" t="s">
        <v>77</v>
      </c>
      <c r="D225" t="s">
        <v>72</v>
      </c>
      <c r="E225" t="s">
        <v>147</v>
      </c>
      <c r="F225" t="s">
        <v>1023</v>
      </c>
      <c r="G225" t="s">
        <v>488</v>
      </c>
      <c r="H225" t="s">
        <v>488</v>
      </c>
      <c r="I225" t="s">
        <v>76</v>
      </c>
    </row>
    <row r="226" spans="1:9">
      <c r="A226" t="s">
        <v>1024</v>
      </c>
      <c r="B226" t="s">
        <v>44</v>
      </c>
      <c r="C226" t="s">
        <v>69</v>
      </c>
      <c r="D226" t="s">
        <v>72</v>
      </c>
      <c r="E226" t="s">
        <v>501</v>
      </c>
      <c r="F226" t="s">
        <v>1025</v>
      </c>
      <c r="G226" t="s">
        <v>488</v>
      </c>
      <c r="H226" t="s">
        <v>488</v>
      </c>
      <c r="I226" t="s">
        <v>76</v>
      </c>
    </row>
    <row r="227" spans="1:9">
      <c r="A227" t="s">
        <v>1026</v>
      </c>
      <c r="B227" t="s">
        <v>44</v>
      </c>
      <c r="C227" t="s">
        <v>102</v>
      </c>
      <c r="D227" t="s">
        <v>72</v>
      </c>
      <c r="E227" t="s">
        <v>143</v>
      </c>
      <c r="F227" t="s">
        <v>1027</v>
      </c>
      <c r="G227" t="s">
        <v>1028</v>
      </c>
      <c r="H227" t="s">
        <v>1029</v>
      </c>
      <c r="I227" t="s">
        <v>76</v>
      </c>
    </row>
    <row r="228" spans="1:9">
      <c r="A228" t="s">
        <v>1030</v>
      </c>
      <c r="B228" t="s">
        <v>44</v>
      </c>
      <c r="C228" t="s">
        <v>86</v>
      </c>
      <c r="D228" t="s">
        <v>104</v>
      </c>
      <c r="E228" t="s">
        <v>167</v>
      </c>
      <c r="F228" t="s">
        <v>1031</v>
      </c>
      <c r="G228" t="s">
        <v>1032</v>
      </c>
      <c r="H228" t="s">
        <v>1033</v>
      </c>
      <c r="I228" t="s">
        <v>76</v>
      </c>
    </row>
    <row r="229" spans="1:9">
      <c r="A229" t="s">
        <v>1034</v>
      </c>
      <c r="B229" t="s">
        <v>44</v>
      </c>
      <c r="C229" t="s">
        <v>86</v>
      </c>
      <c r="D229" t="s">
        <v>119</v>
      </c>
      <c r="E229" t="s">
        <v>437</v>
      </c>
      <c r="F229" t="s">
        <v>1035</v>
      </c>
      <c r="G229" t="s">
        <v>1036</v>
      </c>
      <c r="H229" t="s">
        <v>488</v>
      </c>
      <c r="I229" t="s">
        <v>76</v>
      </c>
    </row>
    <row r="230" spans="1:9">
      <c r="A230" t="s">
        <v>1037</v>
      </c>
      <c r="B230" t="s">
        <v>44</v>
      </c>
      <c r="C230" t="s">
        <v>86</v>
      </c>
      <c r="D230" t="s">
        <v>89</v>
      </c>
      <c r="E230" t="s">
        <v>1038</v>
      </c>
      <c r="F230" t="s">
        <v>1039</v>
      </c>
      <c r="G230" t="s">
        <v>488</v>
      </c>
      <c r="H230" t="s">
        <v>1040</v>
      </c>
      <c r="I230" t="s">
        <v>76</v>
      </c>
    </row>
    <row r="231" spans="1:9">
      <c r="A231" t="s">
        <v>1041</v>
      </c>
      <c r="B231" t="s">
        <v>44</v>
      </c>
      <c r="C231" t="s">
        <v>106</v>
      </c>
      <c r="D231" t="s">
        <v>72</v>
      </c>
      <c r="E231" t="s">
        <v>1042</v>
      </c>
      <c r="F231" t="s">
        <v>1043</v>
      </c>
      <c r="G231" t="s">
        <v>1044</v>
      </c>
      <c r="H231" t="s">
        <v>1045</v>
      </c>
      <c r="I231" t="s">
        <v>76</v>
      </c>
    </row>
    <row r="232" spans="1:9">
      <c r="A232" t="s">
        <v>1046</v>
      </c>
      <c r="B232" t="s">
        <v>44</v>
      </c>
      <c r="C232" t="s">
        <v>69</v>
      </c>
      <c r="D232" t="s">
        <v>72</v>
      </c>
      <c r="E232" t="s">
        <v>287</v>
      </c>
      <c r="F232" t="s">
        <v>1047</v>
      </c>
      <c r="G232" t="s">
        <v>1048</v>
      </c>
      <c r="H232" t="s">
        <v>488</v>
      </c>
      <c r="I232" t="s">
        <v>76</v>
      </c>
    </row>
    <row r="233" spans="1:9">
      <c r="A233" t="s">
        <v>1049</v>
      </c>
      <c r="B233" t="s">
        <v>44</v>
      </c>
      <c r="C233" t="s">
        <v>69</v>
      </c>
      <c r="D233" t="s">
        <v>72</v>
      </c>
      <c r="E233" t="s">
        <v>826</v>
      </c>
      <c r="F233" t="s">
        <v>1050</v>
      </c>
      <c r="G233" t="s">
        <v>1051</v>
      </c>
      <c r="H233" t="s">
        <v>1052</v>
      </c>
      <c r="I233" t="s">
        <v>76</v>
      </c>
    </row>
    <row r="234" spans="1:9">
      <c r="A234" t="s">
        <v>1053</v>
      </c>
      <c r="B234" t="s">
        <v>44</v>
      </c>
      <c r="C234" t="s">
        <v>69</v>
      </c>
      <c r="D234" t="s">
        <v>72</v>
      </c>
      <c r="E234" t="s">
        <v>1054</v>
      </c>
      <c r="F234" t="s">
        <v>1055</v>
      </c>
      <c r="G234" t="s">
        <v>1056</v>
      </c>
      <c r="H234" t="s">
        <v>1057</v>
      </c>
      <c r="I234" t="s">
        <v>76</v>
      </c>
    </row>
    <row r="235" spans="1:9">
      <c r="A235" t="s">
        <v>1058</v>
      </c>
      <c r="B235" t="s">
        <v>44</v>
      </c>
      <c r="C235" t="s">
        <v>102</v>
      </c>
      <c r="D235" t="s">
        <v>72</v>
      </c>
      <c r="E235" t="s">
        <v>254</v>
      </c>
      <c r="F235" t="s">
        <v>1059</v>
      </c>
      <c r="G235" t="s">
        <v>1060</v>
      </c>
      <c r="H235" t="s">
        <v>1061</v>
      </c>
      <c r="I235" t="s">
        <v>76</v>
      </c>
    </row>
    <row r="236" spans="1:9">
      <c r="A236" t="s">
        <v>1062</v>
      </c>
      <c r="B236" t="s">
        <v>44</v>
      </c>
      <c r="C236" t="s">
        <v>95</v>
      </c>
      <c r="D236" t="s">
        <v>72</v>
      </c>
      <c r="E236" t="s">
        <v>147</v>
      </c>
      <c r="F236" t="s">
        <v>1063</v>
      </c>
      <c r="G236" t="s">
        <v>1064</v>
      </c>
      <c r="H236" t="s">
        <v>1065</v>
      </c>
      <c r="I236" t="s">
        <v>76</v>
      </c>
    </row>
    <row r="237" spans="1:9">
      <c r="A237" t="s">
        <v>1066</v>
      </c>
      <c r="B237" t="s">
        <v>44</v>
      </c>
      <c r="C237" t="s">
        <v>77</v>
      </c>
      <c r="D237" t="s">
        <v>72</v>
      </c>
      <c r="E237" t="s">
        <v>147</v>
      </c>
      <c r="F237" t="s">
        <v>1067</v>
      </c>
      <c r="G237" t="s">
        <v>1068</v>
      </c>
      <c r="H237" t="s">
        <v>1069</v>
      </c>
      <c r="I237" t="s">
        <v>76</v>
      </c>
    </row>
    <row r="238" spans="1:9">
      <c r="A238" t="s">
        <v>1070</v>
      </c>
      <c r="B238" t="s">
        <v>44</v>
      </c>
      <c r="C238" t="s">
        <v>116</v>
      </c>
      <c r="D238" t="s">
        <v>72</v>
      </c>
      <c r="E238" t="s">
        <v>1071</v>
      </c>
      <c r="F238" t="s">
        <v>1072</v>
      </c>
      <c r="G238" t="s">
        <v>1073</v>
      </c>
      <c r="H238" t="s">
        <v>1074</v>
      </c>
      <c r="I238" t="s">
        <v>76</v>
      </c>
    </row>
    <row r="239" spans="1:9">
      <c r="A239" t="s">
        <v>1075</v>
      </c>
      <c r="B239" t="s">
        <v>44</v>
      </c>
      <c r="C239" t="s">
        <v>116</v>
      </c>
      <c r="D239" t="s">
        <v>72</v>
      </c>
      <c r="E239" t="s">
        <v>143</v>
      </c>
      <c r="F239" t="s">
        <v>1076</v>
      </c>
      <c r="G239" t="s">
        <v>1077</v>
      </c>
      <c r="H239" t="s">
        <v>1078</v>
      </c>
      <c r="I239" t="s">
        <v>76</v>
      </c>
    </row>
    <row r="240" spans="1:9">
      <c r="A240" t="s">
        <v>1079</v>
      </c>
      <c r="B240" t="s">
        <v>44</v>
      </c>
      <c r="C240" t="s">
        <v>113</v>
      </c>
      <c r="D240" t="s">
        <v>72</v>
      </c>
      <c r="E240" t="s">
        <v>1080</v>
      </c>
      <c r="F240" t="s">
        <v>1081</v>
      </c>
      <c r="G240" t="s">
        <v>1082</v>
      </c>
      <c r="H240" t="s">
        <v>1083</v>
      </c>
      <c r="I240" t="s">
        <v>76</v>
      </c>
    </row>
    <row r="241" spans="1:9">
      <c r="A241" t="s">
        <v>1084</v>
      </c>
      <c r="B241" t="s">
        <v>44</v>
      </c>
      <c r="D241" t="s">
        <v>104</v>
      </c>
      <c r="E241" t="s">
        <v>1085</v>
      </c>
      <c r="F241" t="s">
        <v>1086</v>
      </c>
      <c r="G241" t="s">
        <v>488</v>
      </c>
      <c r="H241" t="s">
        <v>1087</v>
      </c>
      <c r="I241" t="s">
        <v>76</v>
      </c>
    </row>
    <row r="242" spans="1:9">
      <c r="A242" t="s">
        <v>1088</v>
      </c>
      <c r="B242" t="s">
        <v>44</v>
      </c>
      <c r="C242" t="s">
        <v>69</v>
      </c>
      <c r="D242" t="s">
        <v>72</v>
      </c>
      <c r="E242" t="s">
        <v>202</v>
      </c>
      <c r="F242" t="s">
        <v>1089</v>
      </c>
      <c r="G242" t="s">
        <v>1090</v>
      </c>
      <c r="H242" t="s">
        <v>1091</v>
      </c>
      <c r="I242" t="s">
        <v>76</v>
      </c>
    </row>
    <row r="243" spans="1:9">
      <c r="A243" t="s">
        <v>1092</v>
      </c>
      <c r="B243" t="s">
        <v>44</v>
      </c>
      <c r="C243" t="s">
        <v>69</v>
      </c>
      <c r="D243" t="s">
        <v>80</v>
      </c>
      <c r="E243" t="s">
        <v>227</v>
      </c>
      <c r="F243" t="s">
        <v>1093</v>
      </c>
      <c r="G243" t="s">
        <v>1094</v>
      </c>
      <c r="H243" t="s">
        <v>488</v>
      </c>
      <c r="I243" t="s">
        <v>76</v>
      </c>
    </row>
    <row r="244" spans="1:9">
      <c r="A244" t="s">
        <v>1095</v>
      </c>
      <c r="B244" t="s">
        <v>44</v>
      </c>
      <c r="C244" t="s">
        <v>69</v>
      </c>
      <c r="D244" t="s">
        <v>80</v>
      </c>
      <c r="E244" t="s">
        <v>490</v>
      </c>
      <c r="F244" t="s">
        <v>1096</v>
      </c>
      <c r="G244" t="s">
        <v>1097</v>
      </c>
      <c r="H244" t="s">
        <v>1098</v>
      </c>
      <c r="I244" t="s">
        <v>76</v>
      </c>
    </row>
    <row r="245" spans="1:9">
      <c r="A245" t="s">
        <v>1099</v>
      </c>
      <c r="B245" t="s">
        <v>44</v>
      </c>
      <c r="C245" t="s">
        <v>69</v>
      </c>
      <c r="D245" t="s">
        <v>72</v>
      </c>
      <c r="E245" t="s">
        <v>631</v>
      </c>
      <c r="F245" t="s">
        <v>1100</v>
      </c>
      <c r="G245" t="s">
        <v>488</v>
      </c>
      <c r="H245" t="s">
        <v>1101</v>
      </c>
      <c r="I245" t="s">
        <v>76</v>
      </c>
    </row>
    <row r="246" spans="1:9">
      <c r="A246" t="s">
        <v>1102</v>
      </c>
      <c r="B246" t="s">
        <v>44</v>
      </c>
      <c r="C246" t="s">
        <v>102</v>
      </c>
      <c r="D246" t="s">
        <v>72</v>
      </c>
      <c r="E246" t="s">
        <v>147</v>
      </c>
      <c r="F246" t="s">
        <v>1103</v>
      </c>
      <c r="G246" t="s">
        <v>1104</v>
      </c>
      <c r="H246" t="s">
        <v>1105</v>
      </c>
      <c r="I246" t="s">
        <v>76</v>
      </c>
    </row>
    <row r="247" spans="1:9">
      <c r="A247" t="s">
        <v>1106</v>
      </c>
      <c r="B247" t="s">
        <v>44</v>
      </c>
      <c r="C247" t="s">
        <v>69</v>
      </c>
      <c r="D247" t="s">
        <v>72</v>
      </c>
      <c r="E247" t="s">
        <v>1107</v>
      </c>
      <c r="F247" t="s">
        <v>1108</v>
      </c>
      <c r="G247" t="s">
        <v>1109</v>
      </c>
      <c r="H247" t="s">
        <v>488</v>
      </c>
      <c r="I247" t="s">
        <v>76</v>
      </c>
    </row>
    <row r="248" spans="1:9">
      <c r="A248" t="s">
        <v>1110</v>
      </c>
      <c r="B248" t="s">
        <v>44</v>
      </c>
      <c r="C248" t="s">
        <v>69</v>
      </c>
      <c r="D248" t="s">
        <v>72</v>
      </c>
      <c r="E248" t="s">
        <v>1111</v>
      </c>
      <c r="F248" t="s">
        <v>1112</v>
      </c>
      <c r="G248" t="s">
        <v>1113</v>
      </c>
      <c r="H248" t="s">
        <v>1114</v>
      </c>
      <c r="I248" t="s">
        <v>76</v>
      </c>
    </row>
    <row r="249" spans="1:9">
      <c r="A249" t="s">
        <v>1115</v>
      </c>
      <c r="B249" t="s">
        <v>44</v>
      </c>
      <c r="C249" t="s">
        <v>69</v>
      </c>
      <c r="D249" t="s">
        <v>72</v>
      </c>
      <c r="E249" t="s">
        <v>287</v>
      </c>
      <c r="F249" t="s">
        <v>1116</v>
      </c>
      <c r="G249" t="s">
        <v>1117</v>
      </c>
      <c r="H249" t="s">
        <v>1118</v>
      </c>
      <c r="I249" t="s">
        <v>76</v>
      </c>
    </row>
    <row r="250" spans="1:9">
      <c r="A250" t="s">
        <v>1119</v>
      </c>
      <c r="B250" t="s">
        <v>44</v>
      </c>
      <c r="C250" t="s">
        <v>110</v>
      </c>
      <c r="D250" t="s">
        <v>104</v>
      </c>
      <c r="E250" t="s">
        <v>1120</v>
      </c>
      <c r="F250" t="s">
        <v>1121</v>
      </c>
      <c r="H250" t="s">
        <v>1122</v>
      </c>
      <c r="I250" t="s">
        <v>76</v>
      </c>
    </row>
    <row r="251" spans="1:9">
      <c r="A251" t="s">
        <v>1123</v>
      </c>
      <c r="B251" t="s">
        <v>44</v>
      </c>
      <c r="C251" t="s">
        <v>102</v>
      </c>
      <c r="D251" t="s">
        <v>72</v>
      </c>
      <c r="E251" t="s">
        <v>982</v>
      </c>
      <c r="F251" t="s">
        <v>1124</v>
      </c>
      <c r="G251" t="s">
        <v>1125</v>
      </c>
      <c r="H251" t="s">
        <v>1126</v>
      </c>
      <c r="I251" t="s">
        <v>76</v>
      </c>
    </row>
    <row r="252" spans="1:9">
      <c r="A252" t="s">
        <v>1127</v>
      </c>
      <c r="B252" t="s">
        <v>44</v>
      </c>
      <c r="C252" t="s">
        <v>106</v>
      </c>
      <c r="D252" t="s">
        <v>72</v>
      </c>
      <c r="E252" t="s">
        <v>287</v>
      </c>
      <c r="F252" t="s">
        <v>1128</v>
      </c>
      <c r="G252" t="s">
        <v>1129</v>
      </c>
      <c r="H252" t="s">
        <v>1130</v>
      </c>
      <c r="I252" t="s">
        <v>76</v>
      </c>
    </row>
    <row r="253" spans="1:9">
      <c r="A253" t="s">
        <v>1131</v>
      </c>
      <c r="B253" t="s">
        <v>44</v>
      </c>
      <c r="C253" t="s">
        <v>69</v>
      </c>
      <c r="D253" t="s">
        <v>98</v>
      </c>
      <c r="E253" t="s">
        <v>1132</v>
      </c>
      <c r="F253" t="s">
        <v>1133</v>
      </c>
      <c r="G253" t="s">
        <v>1134</v>
      </c>
      <c r="H253" t="s">
        <v>1135</v>
      </c>
      <c r="I253" t="s">
        <v>76</v>
      </c>
    </row>
    <row r="254" spans="1:9">
      <c r="A254" t="s">
        <v>1136</v>
      </c>
      <c r="B254" t="s">
        <v>44</v>
      </c>
      <c r="C254" t="s">
        <v>106</v>
      </c>
      <c r="D254" t="s">
        <v>72</v>
      </c>
      <c r="E254" t="s">
        <v>232</v>
      </c>
      <c r="F254" t="s">
        <v>1137</v>
      </c>
      <c r="G254" t="s">
        <v>1138</v>
      </c>
      <c r="H254" t="s">
        <v>488</v>
      </c>
      <c r="I254" t="s">
        <v>76</v>
      </c>
    </row>
    <row r="255" spans="1:9">
      <c r="A255" t="s">
        <v>1139</v>
      </c>
      <c r="B255" t="s">
        <v>44</v>
      </c>
      <c r="C255" t="s">
        <v>69</v>
      </c>
      <c r="D255" t="s">
        <v>72</v>
      </c>
      <c r="E255" t="s">
        <v>834</v>
      </c>
      <c r="F255" t="s">
        <v>1140</v>
      </c>
      <c r="G255" t="s">
        <v>488</v>
      </c>
      <c r="H255" t="s">
        <v>488</v>
      </c>
      <c r="I255" t="s">
        <v>76</v>
      </c>
    </row>
    <row r="256" spans="1:9">
      <c r="A256" t="s">
        <v>1141</v>
      </c>
      <c r="B256" t="s">
        <v>44</v>
      </c>
      <c r="C256" t="s">
        <v>69</v>
      </c>
      <c r="D256" t="s">
        <v>72</v>
      </c>
      <c r="E256" t="s">
        <v>1142</v>
      </c>
      <c r="F256" t="s">
        <v>1143</v>
      </c>
      <c r="G256" t="s">
        <v>1144</v>
      </c>
      <c r="H256" t="s">
        <v>1145</v>
      </c>
      <c r="I256" t="s">
        <v>76</v>
      </c>
    </row>
    <row r="257" spans="1:9">
      <c r="A257" t="s">
        <v>1146</v>
      </c>
      <c r="B257" t="s">
        <v>44</v>
      </c>
      <c r="C257" t="s">
        <v>69</v>
      </c>
      <c r="D257" t="s">
        <v>104</v>
      </c>
      <c r="E257" t="s">
        <v>512</v>
      </c>
      <c r="F257" t="s">
        <v>1147</v>
      </c>
      <c r="G257" t="s">
        <v>1148</v>
      </c>
      <c r="H257" t="s">
        <v>488</v>
      </c>
      <c r="I257" t="s">
        <v>76</v>
      </c>
    </row>
    <row r="258" spans="1:9">
      <c r="A258" t="s">
        <v>1149</v>
      </c>
      <c r="B258" t="s">
        <v>44</v>
      </c>
      <c r="C258" t="s">
        <v>69</v>
      </c>
      <c r="D258" t="s">
        <v>72</v>
      </c>
      <c r="E258" t="s">
        <v>448</v>
      </c>
      <c r="F258" t="s">
        <v>1150</v>
      </c>
      <c r="G258" t="s">
        <v>1151</v>
      </c>
      <c r="H258" t="s">
        <v>1152</v>
      </c>
      <c r="I258" t="s">
        <v>76</v>
      </c>
    </row>
    <row r="259" spans="1:9">
      <c r="A259" t="s">
        <v>1153</v>
      </c>
      <c r="B259" t="s">
        <v>44</v>
      </c>
      <c r="C259" t="s">
        <v>69</v>
      </c>
      <c r="D259" t="s">
        <v>72</v>
      </c>
      <c r="E259" t="s">
        <v>232</v>
      </c>
      <c r="F259" t="s">
        <v>1154</v>
      </c>
      <c r="G259" t="s">
        <v>1155</v>
      </c>
      <c r="H259" t="s">
        <v>488</v>
      </c>
      <c r="I259" t="s">
        <v>76</v>
      </c>
    </row>
    <row r="260" spans="1:9">
      <c r="A260" t="s">
        <v>1156</v>
      </c>
      <c r="B260" t="s">
        <v>44</v>
      </c>
      <c r="C260" t="s">
        <v>69</v>
      </c>
      <c r="D260" t="s">
        <v>72</v>
      </c>
      <c r="E260" t="s">
        <v>1157</v>
      </c>
      <c r="F260" t="s">
        <v>1158</v>
      </c>
      <c r="G260" t="s">
        <v>1159</v>
      </c>
      <c r="H260" t="s">
        <v>1160</v>
      </c>
      <c r="I260" t="s">
        <v>76</v>
      </c>
    </row>
    <row r="261" spans="1:9">
      <c r="A261" t="s">
        <v>1161</v>
      </c>
      <c r="B261" t="s">
        <v>44</v>
      </c>
      <c r="C261" t="s">
        <v>69</v>
      </c>
      <c r="D261" t="s">
        <v>72</v>
      </c>
      <c r="E261" t="s">
        <v>1162</v>
      </c>
      <c r="F261" t="s">
        <v>1163</v>
      </c>
      <c r="G261" t="s">
        <v>1164</v>
      </c>
      <c r="H261" t="s">
        <v>1165</v>
      </c>
      <c r="I261" t="s">
        <v>76</v>
      </c>
    </row>
    <row r="262" spans="1:9">
      <c r="A262" t="s">
        <v>1166</v>
      </c>
      <c r="B262" t="s">
        <v>44</v>
      </c>
      <c r="C262" t="s">
        <v>69</v>
      </c>
      <c r="D262" t="s">
        <v>72</v>
      </c>
      <c r="E262" t="s">
        <v>217</v>
      </c>
      <c r="F262" t="s">
        <v>1167</v>
      </c>
      <c r="G262" t="s">
        <v>1168</v>
      </c>
      <c r="H262" t="s">
        <v>1169</v>
      </c>
      <c r="I262" t="s">
        <v>76</v>
      </c>
    </row>
    <row r="263" spans="1:9">
      <c r="A263" t="s">
        <v>1170</v>
      </c>
      <c r="B263" t="s">
        <v>44</v>
      </c>
      <c r="C263" t="s">
        <v>116</v>
      </c>
      <c r="D263" t="s">
        <v>72</v>
      </c>
      <c r="E263" t="s">
        <v>640</v>
      </c>
      <c r="F263" t="s">
        <v>1171</v>
      </c>
      <c r="G263" t="s">
        <v>1172</v>
      </c>
      <c r="H263" t="s">
        <v>488</v>
      </c>
      <c r="I263" t="s">
        <v>76</v>
      </c>
    </row>
    <row r="264" spans="1:9">
      <c r="A264" t="s">
        <v>1173</v>
      </c>
      <c r="B264" t="s">
        <v>44</v>
      </c>
      <c r="C264" t="s">
        <v>69</v>
      </c>
      <c r="D264" t="s">
        <v>72</v>
      </c>
      <c r="E264" t="s">
        <v>217</v>
      </c>
      <c r="F264" t="s">
        <v>1174</v>
      </c>
      <c r="G264" t="s">
        <v>1175</v>
      </c>
      <c r="H264" t="s">
        <v>488</v>
      </c>
      <c r="I264" t="s">
        <v>76</v>
      </c>
    </row>
    <row r="265" spans="1:9">
      <c r="A265" t="s">
        <v>1176</v>
      </c>
      <c r="B265" t="s">
        <v>44</v>
      </c>
      <c r="C265" t="s">
        <v>77</v>
      </c>
      <c r="D265" t="s">
        <v>121</v>
      </c>
      <c r="E265" t="s">
        <v>1177</v>
      </c>
      <c r="F265" t="s">
        <v>1178</v>
      </c>
      <c r="G265" t="s">
        <v>1179</v>
      </c>
      <c r="H265" t="s">
        <v>488</v>
      </c>
      <c r="I265" t="s">
        <v>76</v>
      </c>
    </row>
    <row r="266" spans="1:9">
      <c r="A266" t="s">
        <v>1180</v>
      </c>
      <c r="B266" t="s">
        <v>44</v>
      </c>
      <c r="C266" t="s">
        <v>86</v>
      </c>
      <c r="D266" t="s">
        <v>72</v>
      </c>
      <c r="E266" t="s">
        <v>217</v>
      </c>
      <c r="F266" t="s">
        <v>1181</v>
      </c>
      <c r="G266" t="s">
        <v>1182</v>
      </c>
      <c r="H266" t="s">
        <v>1183</v>
      </c>
      <c r="I266" t="s">
        <v>76</v>
      </c>
    </row>
    <row r="267" spans="1:9">
      <c r="A267" t="s">
        <v>1184</v>
      </c>
      <c r="B267" t="s">
        <v>44</v>
      </c>
      <c r="C267" t="s">
        <v>69</v>
      </c>
      <c r="D267" t="s">
        <v>72</v>
      </c>
      <c r="E267" t="s">
        <v>246</v>
      </c>
      <c r="F267" t="s">
        <v>1185</v>
      </c>
      <c r="G267" t="s">
        <v>1186</v>
      </c>
      <c r="H267" t="s">
        <v>488</v>
      </c>
      <c r="I267" t="s">
        <v>76</v>
      </c>
    </row>
    <row r="268" spans="1:9">
      <c r="A268" t="s">
        <v>1187</v>
      </c>
      <c r="B268" t="s">
        <v>44</v>
      </c>
      <c r="C268" t="s">
        <v>116</v>
      </c>
      <c r="D268" t="s">
        <v>72</v>
      </c>
      <c r="E268" t="s">
        <v>197</v>
      </c>
      <c r="F268" t="s">
        <v>1188</v>
      </c>
      <c r="G268" t="s">
        <v>1189</v>
      </c>
      <c r="H268" t="s">
        <v>1190</v>
      </c>
      <c r="I268" t="s">
        <v>76</v>
      </c>
    </row>
    <row r="269" spans="1:9">
      <c r="A269" t="s">
        <v>1191</v>
      </c>
      <c r="B269" t="s">
        <v>44</v>
      </c>
      <c r="C269" t="s">
        <v>95</v>
      </c>
      <c r="D269" t="s">
        <v>72</v>
      </c>
      <c r="E269" t="s">
        <v>545</v>
      </c>
      <c r="F269" t="s">
        <v>1192</v>
      </c>
      <c r="G269" t="s">
        <v>1193</v>
      </c>
      <c r="H269" t="s">
        <v>488</v>
      </c>
      <c r="I269" t="s">
        <v>76</v>
      </c>
    </row>
    <row r="270" spans="1:9">
      <c r="A270" t="s">
        <v>1194</v>
      </c>
      <c r="B270" t="s">
        <v>44</v>
      </c>
      <c r="C270" t="s">
        <v>86</v>
      </c>
      <c r="D270" t="s">
        <v>98</v>
      </c>
      <c r="E270" t="s">
        <v>163</v>
      </c>
      <c r="F270" t="s">
        <v>1195</v>
      </c>
      <c r="G270" t="s">
        <v>1196</v>
      </c>
      <c r="H270" t="s">
        <v>1197</v>
      </c>
      <c r="I270" t="s">
        <v>76</v>
      </c>
    </row>
    <row r="271" spans="1:9">
      <c r="A271" t="s">
        <v>1198</v>
      </c>
      <c r="B271" t="s">
        <v>44</v>
      </c>
      <c r="C271" t="s">
        <v>102</v>
      </c>
      <c r="D271" t="s">
        <v>72</v>
      </c>
      <c r="E271" t="s">
        <v>147</v>
      </c>
      <c r="F271" t="s">
        <v>1199</v>
      </c>
      <c r="G271" t="s">
        <v>1200</v>
      </c>
      <c r="H271" t="s">
        <v>488</v>
      </c>
      <c r="I271" t="s">
        <v>76</v>
      </c>
    </row>
    <row r="272" spans="1:9">
      <c r="A272" t="s">
        <v>1201</v>
      </c>
      <c r="B272" t="s">
        <v>44</v>
      </c>
      <c r="C272" t="s">
        <v>69</v>
      </c>
      <c r="D272" t="s">
        <v>72</v>
      </c>
      <c r="E272" t="s">
        <v>232</v>
      </c>
      <c r="F272" t="s">
        <v>1202</v>
      </c>
      <c r="G272" t="s">
        <v>1203</v>
      </c>
      <c r="H272" t="s">
        <v>1204</v>
      </c>
      <c r="I272" t="s">
        <v>76</v>
      </c>
    </row>
    <row r="273" spans="1:9">
      <c r="A273" t="s">
        <v>1205</v>
      </c>
      <c r="B273" t="s">
        <v>44</v>
      </c>
      <c r="C273" t="s">
        <v>69</v>
      </c>
      <c r="D273" t="s">
        <v>72</v>
      </c>
      <c r="E273" t="s">
        <v>254</v>
      </c>
      <c r="F273" t="s">
        <v>1206</v>
      </c>
      <c r="G273" t="s">
        <v>1207</v>
      </c>
      <c r="H273" t="s">
        <v>1208</v>
      </c>
      <c r="I273" t="s">
        <v>76</v>
      </c>
    </row>
    <row r="274" spans="1:9">
      <c r="A274" t="s">
        <v>1209</v>
      </c>
      <c r="B274" t="s">
        <v>44</v>
      </c>
      <c r="C274" t="s">
        <v>69</v>
      </c>
      <c r="D274" t="s">
        <v>72</v>
      </c>
      <c r="E274" t="s">
        <v>202</v>
      </c>
      <c r="F274" t="s">
        <v>1210</v>
      </c>
      <c r="G274" t="s">
        <v>1211</v>
      </c>
      <c r="H274" t="s">
        <v>1212</v>
      </c>
      <c r="I274" t="s">
        <v>76</v>
      </c>
    </row>
    <row r="275" spans="1:9">
      <c r="A275" t="s">
        <v>1213</v>
      </c>
      <c r="B275" t="s">
        <v>44</v>
      </c>
      <c r="C275" t="s">
        <v>102</v>
      </c>
      <c r="D275" t="s">
        <v>72</v>
      </c>
      <c r="E275" t="s">
        <v>147</v>
      </c>
      <c r="F275" t="s">
        <v>1214</v>
      </c>
      <c r="G275" t="s">
        <v>1215</v>
      </c>
      <c r="H275" t="s">
        <v>1216</v>
      </c>
      <c r="I275" t="s">
        <v>76</v>
      </c>
    </row>
    <row r="276" spans="1:9">
      <c r="A276" t="s">
        <v>1217</v>
      </c>
      <c r="B276" t="s">
        <v>44</v>
      </c>
      <c r="C276" t="s">
        <v>110</v>
      </c>
      <c r="D276" t="s">
        <v>72</v>
      </c>
      <c r="E276" t="s">
        <v>147</v>
      </c>
      <c r="F276" t="s">
        <v>1218</v>
      </c>
      <c r="G276" t="s">
        <v>1219</v>
      </c>
      <c r="H276" t="s">
        <v>1220</v>
      </c>
      <c r="I276" t="s">
        <v>76</v>
      </c>
    </row>
    <row r="277" spans="1:9">
      <c r="A277" t="s">
        <v>1221</v>
      </c>
      <c r="B277" t="s">
        <v>44</v>
      </c>
      <c r="C277" t="s">
        <v>77</v>
      </c>
      <c r="D277" t="s">
        <v>72</v>
      </c>
      <c r="E277" t="s">
        <v>143</v>
      </c>
      <c r="F277" t="s">
        <v>1222</v>
      </c>
      <c r="G277" t="s">
        <v>1223</v>
      </c>
      <c r="H277" t="s">
        <v>1224</v>
      </c>
      <c r="I277" t="s">
        <v>76</v>
      </c>
    </row>
    <row r="278" spans="1:9">
      <c r="A278" t="s">
        <v>1225</v>
      </c>
      <c r="B278" t="s">
        <v>44</v>
      </c>
      <c r="C278" t="s">
        <v>69</v>
      </c>
      <c r="D278" t="s">
        <v>72</v>
      </c>
      <c r="E278" t="s">
        <v>197</v>
      </c>
      <c r="F278" t="s">
        <v>1226</v>
      </c>
      <c r="G278" t="s">
        <v>1227</v>
      </c>
      <c r="H278" t="s">
        <v>488</v>
      </c>
      <c r="I278" t="s">
        <v>76</v>
      </c>
    </row>
    <row r="279" spans="1:9">
      <c r="A279" t="s">
        <v>1228</v>
      </c>
      <c r="B279" t="s">
        <v>44</v>
      </c>
      <c r="C279" t="s">
        <v>102</v>
      </c>
      <c r="D279" t="s">
        <v>98</v>
      </c>
      <c r="E279" t="s">
        <v>990</v>
      </c>
      <c r="F279" t="s">
        <v>1229</v>
      </c>
      <c r="G279" t="s">
        <v>1230</v>
      </c>
      <c r="H279" t="s">
        <v>1231</v>
      </c>
      <c r="I279" t="s">
        <v>76</v>
      </c>
    </row>
    <row r="280" spans="1:9">
      <c r="A280" t="s">
        <v>1232</v>
      </c>
      <c r="B280" t="s">
        <v>44</v>
      </c>
      <c r="C280" t="s">
        <v>69</v>
      </c>
      <c r="D280" t="s">
        <v>72</v>
      </c>
      <c r="E280" t="s">
        <v>147</v>
      </c>
      <c r="F280" t="s">
        <v>1233</v>
      </c>
      <c r="G280" t="s">
        <v>1234</v>
      </c>
      <c r="H280" t="s">
        <v>488</v>
      </c>
      <c r="I280" t="s">
        <v>76</v>
      </c>
    </row>
    <row r="281" spans="1:9">
      <c r="A281" t="s">
        <v>1235</v>
      </c>
      <c r="B281" t="s">
        <v>44</v>
      </c>
      <c r="C281" t="s">
        <v>77</v>
      </c>
      <c r="D281" t="s">
        <v>72</v>
      </c>
      <c r="E281" t="s">
        <v>1236</v>
      </c>
      <c r="F281" t="s">
        <v>1237</v>
      </c>
      <c r="G281" t="s">
        <v>1238</v>
      </c>
      <c r="H281" t="s">
        <v>1239</v>
      </c>
      <c r="I281" t="s">
        <v>76</v>
      </c>
    </row>
    <row r="282" spans="1:9">
      <c r="A282" t="s">
        <v>1240</v>
      </c>
      <c r="B282" t="s">
        <v>44</v>
      </c>
      <c r="C282" t="s">
        <v>77</v>
      </c>
      <c r="D282" t="s">
        <v>72</v>
      </c>
      <c r="E282" t="s">
        <v>147</v>
      </c>
      <c r="F282" t="s">
        <v>1241</v>
      </c>
      <c r="G282" t="s">
        <v>1242</v>
      </c>
      <c r="H282" t="s">
        <v>1243</v>
      </c>
      <c r="I282" t="s">
        <v>76</v>
      </c>
    </row>
    <row r="283" spans="1:9">
      <c r="A283" t="s">
        <v>1244</v>
      </c>
      <c r="B283" t="s">
        <v>44</v>
      </c>
      <c r="C283" t="s">
        <v>106</v>
      </c>
      <c r="D283" t="s">
        <v>72</v>
      </c>
      <c r="E283" t="s">
        <v>147</v>
      </c>
      <c r="F283" t="s">
        <v>1245</v>
      </c>
      <c r="G283" t="s">
        <v>1246</v>
      </c>
      <c r="H283" t="s">
        <v>488</v>
      </c>
      <c r="I283" t="s">
        <v>76</v>
      </c>
    </row>
    <row r="284" spans="1:9">
      <c r="A284" t="s">
        <v>1247</v>
      </c>
      <c r="B284" t="s">
        <v>44</v>
      </c>
      <c r="C284" t="s">
        <v>77</v>
      </c>
      <c r="D284" t="s">
        <v>80</v>
      </c>
      <c r="E284" t="s">
        <v>853</v>
      </c>
      <c r="F284" t="s">
        <v>1248</v>
      </c>
      <c r="G284" t="s">
        <v>1249</v>
      </c>
      <c r="H284" t="s">
        <v>488</v>
      </c>
      <c r="I284" t="s">
        <v>76</v>
      </c>
    </row>
    <row r="285" spans="1:9">
      <c r="A285" t="s">
        <v>1250</v>
      </c>
      <c r="B285" t="s">
        <v>44</v>
      </c>
      <c r="C285" t="s">
        <v>69</v>
      </c>
      <c r="D285" t="s">
        <v>72</v>
      </c>
      <c r="E285" t="s">
        <v>139</v>
      </c>
      <c r="F285" t="s">
        <v>1251</v>
      </c>
      <c r="G285" t="s">
        <v>1252</v>
      </c>
      <c r="H285" t="s">
        <v>1253</v>
      </c>
      <c r="I285" t="s">
        <v>76</v>
      </c>
    </row>
    <row r="286" spans="1:9">
      <c r="A286" t="s">
        <v>1254</v>
      </c>
      <c r="B286" t="s">
        <v>44</v>
      </c>
      <c r="C286" t="s">
        <v>69</v>
      </c>
      <c r="D286" t="s">
        <v>72</v>
      </c>
      <c r="E286" t="s">
        <v>1255</v>
      </c>
      <c r="F286" t="s">
        <v>1256</v>
      </c>
      <c r="G286" t="s">
        <v>1257</v>
      </c>
      <c r="H286" t="s">
        <v>1258</v>
      </c>
      <c r="I286" t="s">
        <v>76</v>
      </c>
    </row>
    <row r="287" spans="1:9">
      <c r="A287" t="s">
        <v>1259</v>
      </c>
      <c r="B287" t="s">
        <v>44</v>
      </c>
      <c r="C287" t="s">
        <v>77</v>
      </c>
      <c r="D287" t="s">
        <v>72</v>
      </c>
      <c r="E287" t="s">
        <v>1260</v>
      </c>
      <c r="F287" t="s">
        <v>1261</v>
      </c>
      <c r="G287" t="s">
        <v>488</v>
      </c>
      <c r="H287" t="s">
        <v>1262</v>
      </c>
      <c r="I287" t="s">
        <v>76</v>
      </c>
    </row>
    <row r="288" spans="1:9">
      <c r="A288" t="s">
        <v>1263</v>
      </c>
      <c r="B288" t="s">
        <v>44</v>
      </c>
      <c r="C288" t="s">
        <v>69</v>
      </c>
      <c r="D288" t="s">
        <v>72</v>
      </c>
      <c r="E288" t="s">
        <v>352</v>
      </c>
      <c r="F288" t="s">
        <v>1264</v>
      </c>
      <c r="G288" t="s">
        <v>488</v>
      </c>
      <c r="H288" t="s">
        <v>1265</v>
      </c>
      <c r="I288" t="s">
        <v>76</v>
      </c>
    </row>
    <row r="289" spans="1:9">
      <c r="A289" t="s">
        <v>1266</v>
      </c>
      <c r="B289" t="s">
        <v>44</v>
      </c>
      <c r="C289" t="s">
        <v>102</v>
      </c>
      <c r="D289" t="s">
        <v>72</v>
      </c>
      <c r="E289" t="s">
        <v>202</v>
      </c>
      <c r="F289" t="s">
        <v>1267</v>
      </c>
      <c r="G289" t="s">
        <v>1268</v>
      </c>
      <c r="H289" t="s">
        <v>1269</v>
      </c>
      <c r="I289" t="s">
        <v>76</v>
      </c>
    </row>
    <row r="290" spans="1:9">
      <c r="A290" t="s">
        <v>1270</v>
      </c>
      <c r="B290" t="s">
        <v>44</v>
      </c>
      <c r="C290" t="s">
        <v>77</v>
      </c>
      <c r="D290" t="s">
        <v>80</v>
      </c>
      <c r="E290" t="s">
        <v>520</v>
      </c>
      <c r="F290" t="s">
        <v>1271</v>
      </c>
      <c r="G290" t="s">
        <v>1272</v>
      </c>
      <c r="H290" t="s">
        <v>488</v>
      </c>
      <c r="I290" t="s">
        <v>76</v>
      </c>
    </row>
    <row r="291" spans="1:9">
      <c r="A291" t="s">
        <v>1273</v>
      </c>
      <c r="B291" t="s">
        <v>44</v>
      </c>
      <c r="C291" t="s">
        <v>110</v>
      </c>
      <c r="D291" t="s">
        <v>72</v>
      </c>
      <c r="E291" t="s">
        <v>232</v>
      </c>
      <c r="F291" t="s">
        <v>1274</v>
      </c>
      <c r="G291" t="s">
        <v>1275</v>
      </c>
      <c r="H291" t="s">
        <v>1276</v>
      </c>
      <c r="I291" t="s">
        <v>76</v>
      </c>
    </row>
    <row r="292" spans="1:9">
      <c r="A292" t="s">
        <v>1277</v>
      </c>
      <c r="B292" t="s">
        <v>44</v>
      </c>
      <c r="C292" t="s">
        <v>69</v>
      </c>
      <c r="D292" t="s">
        <v>72</v>
      </c>
      <c r="E292" t="s">
        <v>337</v>
      </c>
      <c r="F292" t="s">
        <v>1278</v>
      </c>
      <c r="G292" t="s">
        <v>1279</v>
      </c>
      <c r="H292" t="s">
        <v>488</v>
      </c>
      <c r="I292" t="s">
        <v>76</v>
      </c>
    </row>
    <row r="293" spans="1:9">
      <c r="A293" t="s">
        <v>1280</v>
      </c>
      <c r="B293" t="s">
        <v>44</v>
      </c>
      <c r="C293" t="s">
        <v>69</v>
      </c>
      <c r="D293" t="s">
        <v>98</v>
      </c>
      <c r="E293" t="s">
        <v>1281</v>
      </c>
      <c r="F293" t="s">
        <v>1282</v>
      </c>
      <c r="G293" t="s">
        <v>1283</v>
      </c>
      <c r="H293" t="s">
        <v>1284</v>
      </c>
      <c r="I293" t="s">
        <v>76</v>
      </c>
    </row>
    <row r="294" spans="1:9">
      <c r="A294" t="s">
        <v>1285</v>
      </c>
      <c r="B294" t="s">
        <v>44</v>
      </c>
      <c r="C294" t="s">
        <v>69</v>
      </c>
      <c r="D294" t="s">
        <v>72</v>
      </c>
      <c r="E294" t="s">
        <v>287</v>
      </c>
      <c r="F294" t="s">
        <v>1286</v>
      </c>
      <c r="G294" t="s">
        <v>488</v>
      </c>
      <c r="H294" t="s">
        <v>1287</v>
      </c>
      <c r="I294" t="s">
        <v>76</v>
      </c>
    </row>
    <row r="295" spans="1:9">
      <c r="A295" t="s">
        <v>1288</v>
      </c>
      <c r="B295" t="s">
        <v>44</v>
      </c>
      <c r="C295" t="s">
        <v>69</v>
      </c>
      <c r="D295" t="s">
        <v>72</v>
      </c>
      <c r="E295" t="s">
        <v>834</v>
      </c>
      <c r="F295" t="s">
        <v>1289</v>
      </c>
      <c r="G295" t="s">
        <v>1290</v>
      </c>
      <c r="H295" t="s">
        <v>1291</v>
      </c>
      <c r="I295" t="s">
        <v>76</v>
      </c>
    </row>
    <row r="296" spans="1:9">
      <c r="A296" t="s">
        <v>1292</v>
      </c>
      <c r="B296" t="s">
        <v>44</v>
      </c>
      <c r="C296" t="s">
        <v>77</v>
      </c>
      <c r="D296" t="s">
        <v>72</v>
      </c>
      <c r="E296" t="s">
        <v>1293</v>
      </c>
      <c r="F296" t="s">
        <v>1294</v>
      </c>
      <c r="G296" t="s">
        <v>1295</v>
      </c>
      <c r="H296" t="s">
        <v>1296</v>
      </c>
      <c r="I296" t="s">
        <v>76</v>
      </c>
    </row>
    <row r="297" spans="1:9">
      <c r="A297" t="s">
        <v>1297</v>
      </c>
      <c r="B297" t="s">
        <v>44</v>
      </c>
      <c r="C297" t="s">
        <v>102</v>
      </c>
      <c r="D297" t="s">
        <v>72</v>
      </c>
      <c r="E297" t="s">
        <v>1298</v>
      </c>
      <c r="F297" t="s">
        <v>1299</v>
      </c>
      <c r="G297" t="s">
        <v>1300</v>
      </c>
      <c r="H297" t="s">
        <v>1301</v>
      </c>
      <c r="I297" t="s">
        <v>76</v>
      </c>
    </row>
    <row r="298" spans="1:9">
      <c r="A298" t="s">
        <v>1302</v>
      </c>
      <c r="B298" t="s">
        <v>44</v>
      </c>
      <c r="C298" t="s">
        <v>69</v>
      </c>
      <c r="D298" t="s">
        <v>108</v>
      </c>
      <c r="E298" t="s">
        <v>650</v>
      </c>
      <c r="F298" t="s">
        <v>1303</v>
      </c>
      <c r="G298" t="s">
        <v>1304</v>
      </c>
      <c r="H298" t="s">
        <v>1305</v>
      </c>
      <c r="I298" t="s">
        <v>76</v>
      </c>
    </row>
    <row r="299" spans="1:9">
      <c r="A299" t="s">
        <v>1306</v>
      </c>
      <c r="B299" t="s">
        <v>44</v>
      </c>
      <c r="C299" t="s">
        <v>69</v>
      </c>
      <c r="D299" t="s">
        <v>72</v>
      </c>
      <c r="E299" t="s">
        <v>147</v>
      </c>
      <c r="F299" t="s">
        <v>1307</v>
      </c>
      <c r="G299" t="s">
        <v>1308</v>
      </c>
      <c r="H299" t="s">
        <v>1309</v>
      </c>
      <c r="I299" t="s">
        <v>76</v>
      </c>
    </row>
    <row r="300" spans="1:9">
      <c r="A300" t="s">
        <v>1310</v>
      </c>
      <c r="B300" t="s">
        <v>44</v>
      </c>
      <c r="C300" t="s">
        <v>102</v>
      </c>
      <c r="D300" t="s">
        <v>72</v>
      </c>
      <c r="E300" t="s">
        <v>217</v>
      </c>
      <c r="F300" t="s">
        <v>1311</v>
      </c>
      <c r="G300" t="s">
        <v>1312</v>
      </c>
      <c r="H300" t="s">
        <v>488</v>
      </c>
      <c r="I300" t="s">
        <v>76</v>
      </c>
    </row>
    <row r="301" spans="1:9">
      <c r="A301" t="s">
        <v>1313</v>
      </c>
      <c r="B301" t="s">
        <v>44</v>
      </c>
      <c r="C301" t="s">
        <v>102</v>
      </c>
      <c r="D301" t="s">
        <v>72</v>
      </c>
      <c r="E301" t="s">
        <v>147</v>
      </c>
      <c r="F301" t="s">
        <v>1314</v>
      </c>
      <c r="G301" t="s">
        <v>1312</v>
      </c>
      <c r="H301" t="s">
        <v>488</v>
      </c>
      <c r="I301" t="s">
        <v>76</v>
      </c>
    </row>
    <row r="302" spans="1:9">
      <c r="A302" t="s">
        <v>1315</v>
      </c>
      <c r="B302" t="s">
        <v>44</v>
      </c>
      <c r="C302" t="s">
        <v>102</v>
      </c>
      <c r="D302" t="s">
        <v>72</v>
      </c>
      <c r="E302" t="s">
        <v>217</v>
      </c>
      <c r="F302" t="s">
        <v>1316</v>
      </c>
      <c r="G302" t="s">
        <v>1317</v>
      </c>
      <c r="H302" t="s">
        <v>488</v>
      </c>
      <c r="I302" t="s">
        <v>76</v>
      </c>
    </row>
    <row r="303" spans="1:9">
      <c r="A303" t="s">
        <v>1318</v>
      </c>
      <c r="B303" t="s">
        <v>44</v>
      </c>
      <c r="C303" t="s">
        <v>102</v>
      </c>
      <c r="D303" t="s">
        <v>72</v>
      </c>
      <c r="E303" t="s">
        <v>217</v>
      </c>
      <c r="F303" t="s">
        <v>1311</v>
      </c>
      <c r="G303" t="s">
        <v>1319</v>
      </c>
      <c r="H303" t="s">
        <v>1320</v>
      </c>
      <c r="I303" t="s">
        <v>76</v>
      </c>
    </row>
    <row r="304" spans="1:9">
      <c r="A304" t="s">
        <v>1321</v>
      </c>
      <c r="B304" t="s">
        <v>44</v>
      </c>
      <c r="C304" t="s">
        <v>69</v>
      </c>
      <c r="D304" t="s">
        <v>72</v>
      </c>
      <c r="E304" t="s">
        <v>1111</v>
      </c>
      <c r="F304" t="s">
        <v>1322</v>
      </c>
      <c r="G304" t="s">
        <v>1323</v>
      </c>
      <c r="H304" t="s">
        <v>1324</v>
      </c>
      <c r="I304" t="s">
        <v>76</v>
      </c>
    </row>
    <row r="305" spans="1:9">
      <c r="A305" t="s">
        <v>1325</v>
      </c>
      <c r="B305" t="s">
        <v>44</v>
      </c>
      <c r="C305" t="s">
        <v>106</v>
      </c>
      <c r="D305" t="s">
        <v>72</v>
      </c>
      <c r="E305" t="s">
        <v>545</v>
      </c>
      <c r="F305" t="s">
        <v>1326</v>
      </c>
      <c r="G305" t="s">
        <v>1327</v>
      </c>
      <c r="H305" t="s">
        <v>1328</v>
      </c>
      <c r="I305" t="s">
        <v>76</v>
      </c>
    </row>
    <row r="306" spans="1:9">
      <c r="A306" t="s">
        <v>1329</v>
      </c>
      <c r="B306" t="s">
        <v>44</v>
      </c>
      <c r="C306" t="s">
        <v>69</v>
      </c>
      <c r="D306" t="s">
        <v>72</v>
      </c>
      <c r="E306" t="s">
        <v>147</v>
      </c>
      <c r="F306" t="s">
        <v>1330</v>
      </c>
      <c r="G306" t="s">
        <v>488</v>
      </c>
      <c r="H306" t="s">
        <v>1331</v>
      </c>
      <c r="I306" t="s">
        <v>76</v>
      </c>
    </row>
    <row r="307" spans="1:9">
      <c r="A307" t="s">
        <v>1332</v>
      </c>
      <c r="B307" t="s">
        <v>44</v>
      </c>
      <c r="C307" t="s">
        <v>69</v>
      </c>
      <c r="D307" t="s">
        <v>72</v>
      </c>
      <c r="E307" t="s">
        <v>287</v>
      </c>
      <c r="F307" t="s">
        <v>1333</v>
      </c>
      <c r="G307" t="s">
        <v>1334</v>
      </c>
      <c r="H307" t="s">
        <v>488</v>
      </c>
      <c r="I307" t="s">
        <v>76</v>
      </c>
    </row>
    <row r="308" spans="1:9">
      <c r="A308" t="s">
        <v>1335</v>
      </c>
      <c r="B308" t="s">
        <v>44</v>
      </c>
      <c r="C308" t="s">
        <v>106</v>
      </c>
      <c r="D308" t="s">
        <v>126</v>
      </c>
      <c r="E308" t="s">
        <v>530</v>
      </c>
      <c r="F308" t="s">
        <v>1336</v>
      </c>
      <c r="G308" t="s">
        <v>1337</v>
      </c>
      <c r="H308" t="s">
        <v>1338</v>
      </c>
      <c r="I308" t="s">
        <v>76</v>
      </c>
    </row>
    <row r="309" spans="1:9">
      <c r="A309" t="s">
        <v>1339</v>
      </c>
      <c r="B309" t="s">
        <v>44</v>
      </c>
      <c r="C309" t="s">
        <v>69</v>
      </c>
      <c r="D309" t="s">
        <v>72</v>
      </c>
      <c r="E309" t="s">
        <v>147</v>
      </c>
      <c r="F309" t="s">
        <v>1340</v>
      </c>
      <c r="G309" t="s">
        <v>1341</v>
      </c>
      <c r="H309" t="s">
        <v>1342</v>
      </c>
      <c r="I309" t="s">
        <v>76</v>
      </c>
    </row>
    <row r="310" spans="1:9">
      <c r="A310" t="s">
        <v>1343</v>
      </c>
      <c r="B310" t="s">
        <v>44</v>
      </c>
      <c r="C310" t="s">
        <v>102</v>
      </c>
      <c r="D310" t="s">
        <v>72</v>
      </c>
      <c r="E310" t="s">
        <v>147</v>
      </c>
      <c r="F310" t="s">
        <v>1344</v>
      </c>
      <c r="G310" t="s">
        <v>1345</v>
      </c>
      <c r="H310" t="s">
        <v>1346</v>
      </c>
      <c r="I310" t="s">
        <v>76</v>
      </c>
    </row>
    <row r="311" spans="1:9">
      <c r="A311" t="s">
        <v>1347</v>
      </c>
      <c r="B311" t="s">
        <v>44</v>
      </c>
      <c r="C311" t="s">
        <v>69</v>
      </c>
      <c r="D311" t="s">
        <v>72</v>
      </c>
      <c r="E311" t="s">
        <v>147</v>
      </c>
      <c r="F311" t="s">
        <v>1348</v>
      </c>
      <c r="G311" t="s">
        <v>1349</v>
      </c>
      <c r="H311" t="s">
        <v>1350</v>
      </c>
      <c r="I311" t="s">
        <v>76</v>
      </c>
    </row>
    <row r="312" spans="1:9">
      <c r="A312" t="s">
        <v>1351</v>
      </c>
      <c r="B312" t="s">
        <v>44</v>
      </c>
      <c r="C312" t="s">
        <v>69</v>
      </c>
      <c r="D312" t="s">
        <v>72</v>
      </c>
      <c r="E312" t="s">
        <v>147</v>
      </c>
      <c r="F312" t="s">
        <v>1352</v>
      </c>
      <c r="G312" t="s">
        <v>1353</v>
      </c>
      <c r="H312" t="s">
        <v>1354</v>
      </c>
      <c r="I312" t="s">
        <v>76</v>
      </c>
    </row>
    <row r="313" spans="1:9">
      <c r="A313" t="s">
        <v>1355</v>
      </c>
      <c r="B313" t="s">
        <v>44</v>
      </c>
      <c r="C313" t="s">
        <v>69</v>
      </c>
      <c r="D313" t="s">
        <v>72</v>
      </c>
      <c r="E313" t="s">
        <v>1356</v>
      </c>
      <c r="F313" t="s">
        <v>1357</v>
      </c>
      <c r="G313" t="s">
        <v>1358</v>
      </c>
      <c r="H313" t="s">
        <v>1359</v>
      </c>
      <c r="I313" t="s">
        <v>76</v>
      </c>
    </row>
    <row r="314" spans="1:9">
      <c r="A314" t="s">
        <v>1360</v>
      </c>
      <c r="B314" t="s">
        <v>44</v>
      </c>
      <c r="C314" t="s">
        <v>77</v>
      </c>
      <c r="D314" t="s">
        <v>72</v>
      </c>
      <c r="E314" t="s">
        <v>1361</v>
      </c>
      <c r="F314" t="s">
        <v>1362</v>
      </c>
      <c r="G314" t="s">
        <v>1363</v>
      </c>
      <c r="H314" t="s">
        <v>488</v>
      </c>
      <c r="I314" t="s">
        <v>76</v>
      </c>
    </row>
    <row r="315" spans="1:9">
      <c r="A315" t="s">
        <v>1364</v>
      </c>
      <c r="B315" t="s">
        <v>44</v>
      </c>
      <c r="C315" t="s">
        <v>69</v>
      </c>
      <c r="D315" t="s">
        <v>72</v>
      </c>
      <c r="E315" t="s">
        <v>834</v>
      </c>
      <c r="F315" t="s">
        <v>1365</v>
      </c>
      <c r="G315" t="s">
        <v>1366</v>
      </c>
      <c r="H315" t="s">
        <v>1367</v>
      </c>
      <c r="I315" t="s">
        <v>76</v>
      </c>
    </row>
    <row r="316" spans="1:9">
      <c r="A316" t="s">
        <v>1368</v>
      </c>
      <c r="B316" t="s">
        <v>44</v>
      </c>
      <c r="C316" t="s">
        <v>69</v>
      </c>
      <c r="D316" t="s">
        <v>119</v>
      </c>
      <c r="E316" t="s">
        <v>437</v>
      </c>
      <c r="F316" t="s">
        <v>1369</v>
      </c>
      <c r="G316" t="s">
        <v>1370</v>
      </c>
      <c r="H316" t="s">
        <v>1371</v>
      </c>
      <c r="I316" t="s">
        <v>76</v>
      </c>
    </row>
    <row r="317" spans="1:9">
      <c r="A317" t="s">
        <v>1372</v>
      </c>
      <c r="B317" t="s">
        <v>44</v>
      </c>
      <c r="C317" t="s">
        <v>69</v>
      </c>
      <c r="D317" t="s">
        <v>72</v>
      </c>
      <c r="E317" t="s">
        <v>800</v>
      </c>
      <c r="F317" t="s">
        <v>1373</v>
      </c>
      <c r="G317" t="s">
        <v>1374</v>
      </c>
      <c r="H317" t="s">
        <v>1375</v>
      </c>
      <c r="I317" t="s">
        <v>76</v>
      </c>
    </row>
    <row r="318" spans="1:9">
      <c r="A318" t="s">
        <v>1376</v>
      </c>
      <c r="B318" t="s">
        <v>44</v>
      </c>
      <c r="C318" t="s">
        <v>69</v>
      </c>
      <c r="D318" t="s">
        <v>72</v>
      </c>
      <c r="E318" t="s">
        <v>800</v>
      </c>
      <c r="F318" t="s">
        <v>1377</v>
      </c>
      <c r="G318" t="s">
        <v>1378</v>
      </c>
      <c r="H318" t="s">
        <v>1379</v>
      </c>
      <c r="I318" t="s">
        <v>76</v>
      </c>
    </row>
    <row r="319" spans="1:9">
      <c r="A319" t="s">
        <v>1380</v>
      </c>
      <c r="B319" t="s">
        <v>44</v>
      </c>
      <c r="C319" t="s">
        <v>116</v>
      </c>
      <c r="D319" t="s">
        <v>72</v>
      </c>
      <c r="E319" t="s">
        <v>241</v>
      </c>
      <c r="F319" t="s">
        <v>1381</v>
      </c>
      <c r="G319" t="s">
        <v>1382</v>
      </c>
      <c r="H319" t="s">
        <v>1383</v>
      </c>
      <c r="I319" t="s">
        <v>76</v>
      </c>
    </row>
    <row r="320" spans="1:9">
      <c r="A320" t="s">
        <v>1384</v>
      </c>
      <c r="B320" t="s">
        <v>44</v>
      </c>
      <c r="C320" t="s">
        <v>77</v>
      </c>
      <c r="D320" t="s">
        <v>126</v>
      </c>
      <c r="E320" t="s">
        <v>530</v>
      </c>
      <c r="F320" t="s">
        <v>1385</v>
      </c>
      <c r="G320" t="s">
        <v>1386</v>
      </c>
      <c r="H320" t="s">
        <v>488</v>
      </c>
      <c r="I320" t="s">
        <v>76</v>
      </c>
    </row>
    <row r="321" spans="1:9">
      <c r="A321" t="s">
        <v>1387</v>
      </c>
      <c r="B321" t="s">
        <v>44</v>
      </c>
      <c r="C321" t="s">
        <v>77</v>
      </c>
      <c r="D321" t="s">
        <v>72</v>
      </c>
      <c r="E321" t="s">
        <v>655</v>
      </c>
      <c r="F321" t="s">
        <v>1388</v>
      </c>
      <c r="G321" t="s">
        <v>1389</v>
      </c>
      <c r="H321" t="s">
        <v>1390</v>
      </c>
      <c r="I321" t="s">
        <v>76</v>
      </c>
    </row>
    <row r="322" spans="1:9">
      <c r="A322" t="s">
        <v>1391</v>
      </c>
      <c r="B322" t="s">
        <v>44</v>
      </c>
      <c r="C322" t="s">
        <v>77</v>
      </c>
      <c r="D322" t="s">
        <v>72</v>
      </c>
      <c r="E322" t="s">
        <v>143</v>
      </c>
      <c r="F322" t="s">
        <v>1392</v>
      </c>
      <c r="G322" t="s">
        <v>1393</v>
      </c>
      <c r="H322" t="s">
        <v>1394</v>
      </c>
      <c r="I322" t="s">
        <v>76</v>
      </c>
    </row>
    <row r="323" spans="1:9">
      <c r="A323" t="s">
        <v>1395</v>
      </c>
      <c r="B323" t="s">
        <v>44</v>
      </c>
      <c r="C323" t="s">
        <v>86</v>
      </c>
      <c r="D323" t="s">
        <v>72</v>
      </c>
      <c r="E323" t="s">
        <v>197</v>
      </c>
      <c r="F323" t="s">
        <v>1396</v>
      </c>
      <c r="G323" t="s">
        <v>1397</v>
      </c>
      <c r="H323" t="s">
        <v>488</v>
      </c>
      <c r="I323" t="s">
        <v>76</v>
      </c>
    </row>
    <row r="324" spans="1:9">
      <c r="A324" t="s">
        <v>1398</v>
      </c>
      <c r="B324" t="s">
        <v>44</v>
      </c>
      <c r="C324" t="s">
        <v>95</v>
      </c>
      <c r="D324" t="s">
        <v>72</v>
      </c>
      <c r="E324" t="s">
        <v>1399</v>
      </c>
      <c r="F324" t="s">
        <v>1400</v>
      </c>
      <c r="G324" t="s">
        <v>1401</v>
      </c>
      <c r="H324" t="s">
        <v>488</v>
      </c>
      <c r="I324" t="s">
        <v>76</v>
      </c>
    </row>
    <row r="325" spans="1:9">
      <c r="A325" t="s">
        <v>1402</v>
      </c>
      <c r="B325" t="s">
        <v>44</v>
      </c>
      <c r="C325" t="s">
        <v>95</v>
      </c>
      <c r="D325" t="s">
        <v>119</v>
      </c>
      <c r="E325" t="s">
        <v>1403</v>
      </c>
      <c r="F325" t="s">
        <v>1404</v>
      </c>
      <c r="G325" t="s">
        <v>1405</v>
      </c>
      <c r="H325" t="s">
        <v>488</v>
      </c>
      <c r="I325" t="s">
        <v>76</v>
      </c>
    </row>
    <row r="326" spans="1:9">
      <c r="A326" t="s">
        <v>1406</v>
      </c>
      <c r="B326" t="s">
        <v>44</v>
      </c>
      <c r="C326" t="s">
        <v>69</v>
      </c>
      <c r="D326" t="s">
        <v>72</v>
      </c>
      <c r="E326" t="s">
        <v>287</v>
      </c>
      <c r="F326" t="s">
        <v>1407</v>
      </c>
      <c r="G326" t="s">
        <v>1408</v>
      </c>
      <c r="H326" t="s">
        <v>1409</v>
      </c>
      <c r="I326" t="s">
        <v>76</v>
      </c>
    </row>
    <row r="327" spans="1:9">
      <c r="A327" t="s">
        <v>1410</v>
      </c>
      <c r="B327" t="s">
        <v>44</v>
      </c>
      <c r="C327" t="s">
        <v>116</v>
      </c>
      <c r="D327" t="s">
        <v>72</v>
      </c>
      <c r="E327" t="s">
        <v>1411</v>
      </c>
      <c r="F327" t="s">
        <v>1412</v>
      </c>
      <c r="G327" t="s">
        <v>1413</v>
      </c>
      <c r="H327" t="s">
        <v>1414</v>
      </c>
      <c r="I327" t="s">
        <v>76</v>
      </c>
    </row>
    <row r="328" spans="1:9">
      <c r="A328" t="s">
        <v>1415</v>
      </c>
      <c r="B328" t="s">
        <v>44</v>
      </c>
      <c r="C328" t="s">
        <v>106</v>
      </c>
      <c r="D328" t="s">
        <v>80</v>
      </c>
      <c r="E328" t="s">
        <v>1416</v>
      </c>
      <c r="F328" t="s">
        <v>1417</v>
      </c>
      <c r="G328" t="s">
        <v>1418</v>
      </c>
      <c r="H328" t="s">
        <v>1419</v>
      </c>
      <c r="I328" t="s">
        <v>76</v>
      </c>
    </row>
    <row r="329" spans="1:9">
      <c r="A329" t="s">
        <v>1420</v>
      </c>
      <c r="B329" t="s">
        <v>44</v>
      </c>
      <c r="C329" t="s">
        <v>106</v>
      </c>
      <c r="D329" t="s">
        <v>72</v>
      </c>
      <c r="E329" t="s">
        <v>1421</v>
      </c>
      <c r="F329" t="s">
        <v>1422</v>
      </c>
      <c r="G329" t="s">
        <v>1423</v>
      </c>
      <c r="H329" t="s">
        <v>488</v>
      </c>
      <c r="I329" t="s">
        <v>76</v>
      </c>
    </row>
    <row r="330" spans="1:9">
      <c r="A330" t="s">
        <v>1424</v>
      </c>
      <c r="B330" t="s">
        <v>44</v>
      </c>
      <c r="C330" t="s">
        <v>106</v>
      </c>
      <c r="D330" t="s">
        <v>72</v>
      </c>
      <c r="E330" t="s">
        <v>232</v>
      </c>
      <c r="F330" t="s">
        <v>1425</v>
      </c>
      <c r="G330" t="s">
        <v>1426</v>
      </c>
      <c r="H330" t="s">
        <v>488</v>
      </c>
      <c r="I330" t="s">
        <v>76</v>
      </c>
    </row>
    <row r="331" spans="1:9">
      <c r="A331" t="s">
        <v>1427</v>
      </c>
      <c r="B331" t="s">
        <v>44</v>
      </c>
      <c r="C331" t="s">
        <v>86</v>
      </c>
      <c r="D331" t="s">
        <v>98</v>
      </c>
      <c r="E331" t="s">
        <v>1428</v>
      </c>
      <c r="F331" t="s">
        <v>1429</v>
      </c>
      <c r="G331" t="s">
        <v>488</v>
      </c>
      <c r="H331" t="s">
        <v>1430</v>
      </c>
      <c r="I331" t="s">
        <v>76</v>
      </c>
    </row>
    <row r="332" spans="1:9">
      <c r="A332" t="s">
        <v>1431</v>
      </c>
      <c r="B332" t="s">
        <v>44</v>
      </c>
      <c r="C332" t="s">
        <v>69</v>
      </c>
      <c r="D332" t="s">
        <v>72</v>
      </c>
      <c r="E332" t="s">
        <v>826</v>
      </c>
      <c r="F332" t="s">
        <v>1432</v>
      </c>
      <c r="G332" t="s">
        <v>488</v>
      </c>
      <c r="H332" t="s">
        <v>1433</v>
      </c>
      <c r="I332" t="s">
        <v>76</v>
      </c>
    </row>
    <row r="333" spans="1:9">
      <c r="A333" t="s">
        <v>1434</v>
      </c>
      <c r="B333" t="s">
        <v>44</v>
      </c>
      <c r="C333" t="s">
        <v>86</v>
      </c>
      <c r="D333" t="s">
        <v>72</v>
      </c>
      <c r="E333" t="s">
        <v>147</v>
      </c>
      <c r="F333" t="s">
        <v>1435</v>
      </c>
      <c r="G333" t="s">
        <v>488</v>
      </c>
      <c r="H333" t="s">
        <v>1436</v>
      </c>
      <c r="I333" t="s">
        <v>76</v>
      </c>
    </row>
    <row r="334" spans="1:9">
      <c r="A334" t="s">
        <v>1437</v>
      </c>
      <c r="B334" t="s">
        <v>44</v>
      </c>
      <c r="C334" t="s">
        <v>69</v>
      </c>
      <c r="D334" t="s">
        <v>72</v>
      </c>
      <c r="E334" t="s">
        <v>545</v>
      </c>
      <c r="F334" t="s">
        <v>1438</v>
      </c>
      <c r="G334" t="s">
        <v>1439</v>
      </c>
      <c r="H334" t="s">
        <v>488</v>
      </c>
      <c r="I334" t="s">
        <v>76</v>
      </c>
    </row>
    <row r="335" spans="1:9">
      <c r="A335" t="s">
        <v>1440</v>
      </c>
      <c r="B335" t="s">
        <v>44</v>
      </c>
      <c r="C335" t="s">
        <v>106</v>
      </c>
      <c r="D335" t="s">
        <v>72</v>
      </c>
      <c r="E335" t="s">
        <v>232</v>
      </c>
      <c r="F335" t="s">
        <v>1441</v>
      </c>
      <c r="G335" t="s">
        <v>488</v>
      </c>
      <c r="H335" t="s">
        <v>488</v>
      </c>
      <c r="I335" t="s">
        <v>76</v>
      </c>
    </row>
    <row r="336" spans="1:9">
      <c r="A336" t="s">
        <v>1442</v>
      </c>
      <c r="B336" t="s">
        <v>44</v>
      </c>
      <c r="C336" t="s">
        <v>106</v>
      </c>
      <c r="D336" t="s">
        <v>72</v>
      </c>
      <c r="E336" t="s">
        <v>147</v>
      </c>
      <c r="F336" t="s">
        <v>1443</v>
      </c>
      <c r="G336" t="s">
        <v>1444</v>
      </c>
      <c r="H336" t="s">
        <v>1445</v>
      </c>
      <c r="I336" t="s">
        <v>76</v>
      </c>
    </row>
    <row r="337" spans="1:9">
      <c r="A337" t="s">
        <v>1446</v>
      </c>
      <c r="B337" t="s">
        <v>44</v>
      </c>
      <c r="C337" t="s">
        <v>106</v>
      </c>
      <c r="D337" t="s">
        <v>112</v>
      </c>
      <c r="E337" t="s">
        <v>1447</v>
      </c>
      <c r="F337" t="s">
        <v>1448</v>
      </c>
      <c r="G337" t="s">
        <v>1449</v>
      </c>
      <c r="H337" t="s">
        <v>488</v>
      </c>
      <c r="I337" t="s">
        <v>76</v>
      </c>
    </row>
    <row r="338" spans="1:9">
      <c r="A338" t="s">
        <v>1450</v>
      </c>
      <c r="B338" t="s">
        <v>44</v>
      </c>
      <c r="C338" t="s">
        <v>106</v>
      </c>
      <c r="D338" t="s">
        <v>126</v>
      </c>
      <c r="E338" t="s">
        <v>530</v>
      </c>
      <c r="F338" t="s">
        <v>1451</v>
      </c>
      <c r="G338" t="s">
        <v>1452</v>
      </c>
      <c r="H338" t="s">
        <v>1453</v>
      </c>
      <c r="I338" t="s">
        <v>76</v>
      </c>
    </row>
    <row r="339" spans="1:9">
      <c r="A339" t="s">
        <v>1454</v>
      </c>
      <c r="B339" t="s">
        <v>44</v>
      </c>
      <c r="C339" t="s">
        <v>102</v>
      </c>
      <c r="D339" t="s">
        <v>72</v>
      </c>
      <c r="E339" t="s">
        <v>147</v>
      </c>
      <c r="F339" t="s">
        <v>1455</v>
      </c>
      <c r="G339" t="s">
        <v>1456</v>
      </c>
      <c r="H339" t="s">
        <v>1457</v>
      </c>
      <c r="I339" t="s">
        <v>76</v>
      </c>
    </row>
    <row r="340" spans="1:9">
      <c r="A340" t="s">
        <v>1458</v>
      </c>
      <c r="B340" t="s">
        <v>44</v>
      </c>
      <c r="C340" t="s">
        <v>116</v>
      </c>
      <c r="D340" t="s">
        <v>72</v>
      </c>
      <c r="E340" t="s">
        <v>287</v>
      </c>
      <c r="F340" t="s">
        <v>1459</v>
      </c>
      <c r="G340" t="s">
        <v>1460</v>
      </c>
      <c r="H340" t="s">
        <v>488</v>
      </c>
      <c r="I340" t="s">
        <v>76</v>
      </c>
    </row>
    <row r="341" spans="1:9">
      <c r="A341" t="s">
        <v>1461</v>
      </c>
      <c r="B341" t="s">
        <v>44</v>
      </c>
      <c r="C341" t="s">
        <v>106</v>
      </c>
      <c r="D341" t="s">
        <v>72</v>
      </c>
      <c r="E341" t="s">
        <v>1462</v>
      </c>
      <c r="F341" t="s">
        <v>1463</v>
      </c>
      <c r="G341" t="s">
        <v>1464</v>
      </c>
      <c r="H341" t="s">
        <v>1465</v>
      </c>
      <c r="I341" t="s">
        <v>76</v>
      </c>
    </row>
    <row r="342" spans="1:9">
      <c r="A342" t="s">
        <v>1466</v>
      </c>
      <c r="B342" t="s">
        <v>44</v>
      </c>
      <c r="C342" t="s">
        <v>69</v>
      </c>
      <c r="D342" t="s">
        <v>72</v>
      </c>
      <c r="E342" t="s">
        <v>1462</v>
      </c>
      <c r="F342" t="s">
        <v>1467</v>
      </c>
      <c r="G342" t="s">
        <v>488</v>
      </c>
      <c r="H342" t="s">
        <v>488</v>
      </c>
      <c r="I342" t="s">
        <v>76</v>
      </c>
    </row>
    <row r="343" spans="1:9">
      <c r="A343" t="s">
        <v>1468</v>
      </c>
      <c r="B343" t="s">
        <v>44</v>
      </c>
      <c r="C343" t="s">
        <v>69</v>
      </c>
      <c r="D343" t="s">
        <v>72</v>
      </c>
      <c r="E343" t="s">
        <v>1462</v>
      </c>
      <c r="F343" t="s">
        <v>1469</v>
      </c>
      <c r="G343" t="s">
        <v>1470</v>
      </c>
      <c r="H343" t="s">
        <v>1471</v>
      </c>
      <c r="I343" t="s">
        <v>76</v>
      </c>
    </row>
    <row r="344" spans="1:9">
      <c r="A344" t="s">
        <v>1472</v>
      </c>
      <c r="B344" t="s">
        <v>44</v>
      </c>
      <c r="C344" t="s">
        <v>69</v>
      </c>
      <c r="D344" t="s">
        <v>108</v>
      </c>
      <c r="E344" t="s">
        <v>760</v>
      </c>
      <c r="F344" t="s">
        <v>1473</v>
      </c>
      <c r="G344" t="s">
        <v>1474</v>
      </c>
      <c r="H344" t="s">
        <v>1475</v>
      </c>
      <c r="I344" t="s">
        <v>76</v>
      </c>
    </row>
    <row r="345" spans="1:9">
      <c r="A345" t="s">
        <v>1476</v>
      </c>
      <c r="B345" t="s">
        <v>44</v>
      </c>
      <c r="C345" t="s">
        <v>110</v>
      </c>
      <c r="D345" t="s">
        <v>80</v>
      </c>
      <c r="E345" t="s">
        <v>1477</v>
      </c>
      <c r="F345" t="s">
        <v>1478</v>
      </c>
      <c r="G345" t="s">
        <v>1479</v>
      </c>
      <c r="H345" t="s">
        <v>1480</v>
      </c>
      <c r="I345" t="s">
        <v>76</v>
      </c>
    </row>
    <row r="346" spans="1:9">
      <c r="A346" t="s">
        <v>1481</v>
      </c>
      <c r="B346" t="s">
        <v>44</v>
      </c>
      <c r="C346" t="s">
        <v>69</v>
      </c>
      <c r="D346" t="s">
        <v>80</v>
      </c>
      <c r="E346" t="s">
        <v>1482</v>
      </c>
      <c r="F346" t="s">
        <v>1483</v>
      </c>
      <c r="G346" t="s">
        <v>1484</v>
      </c>
      <c r="H346" t="s">
        <v>488</v>
      </c>
      <c r="I346" t="s">
        <v>76</v>
      </c>
    </row>
    <row r="347" spans="1:9">
      <c r="A347" t="s">
        <v>1485</v>
      </c>
      <c r="B347" t="s">
        <v>44</v>
      </c>
      <c r="C347" t="s">
        <v>77</v>
      </c>
      <c r="D347" t="s">
        <v>80</v>
      </c>
      <c r="E347" t="s">
        <v>685</v>
      </c>
      <c r="F347" t="s">
        <v>1486</v>
      </c>
      <c r="G347" t="s">
        <v>488</v>
      </c>
      <c r="H347" t="s">
        <v>488</v>
      </c>
      <c r="I347" t="s">
        <v>76</v>
      </c>
    </row>
    <row r="348" spans="1:9">
      <c r="A348" t="s">
        <v>1487</v>
      </c>
      <c r="B348" t="s">
        <v>44</v>
      </c>
      <c r="C348" t="s">
        <v>69</v>
      </c>
      <c r="D348" t="s">
        <v>98</v>
      </c>
      <c r="E348" t="s">
        <v>1488</v>
      </c>
      <c r="F348" t="s">
        <v>1489</v>
      </c>
      <c r="G348" t="s">
        <v>1490</v>
      </c>
      <c r="H348" t="s">
        <v>1491</v>
      </c>
      <c r="I348" t="s">
        <v>76</v>
      </c>
    </row>
    <row r="349" spans="1:9">
      <c r="A349" t="s">
        <v>1492</v>
      </c>
      <c r="B349" t="s">
        <v>44</v>
      </c>
      <c r="C349" t="s">
        <v>113</v>
      </c>
      <c r="D349" t="s">
        <v>108</v>
      </c>
      <c r="E349" t="s">
        <v>760</v>
      </c>
      <c r="F349" t="s">
        <v>1493</v>
      </c>
      <c r="G349" t="s">
        <v>488</v>
      </c>
      <c r="H349" t="s">
        <v>488</v>
      </c>
      <c r="I349" t="s">
        <v>76</v>
      </c>
    </row>
    <row r="350" spans="1:9">
      <c r="A350" t="s">
        <v>1494</v>
      </c>
      <c r="B350" t="s">
        <v>44</v>
      </c>
      <c r="C350" t="s">
        <v>69</v>
      </c>
      <c r="D350" t="s">
        <v>72</v>
      </c>
      <c r="E350" t="s">
        <v>1399</v>
      </c>
      <c r="F350" t="s">
        <v>1495</v>
      </c>
      <c r="G350" t="s">
        <v>1496</v>
      </c>
      <c r="H350" t="s">
        <v>488</v>
      </c>
      <c r="I350" t="s">
        <v>76</v>
      </c>
    </row>
    <row r="351" spans="1:9">
      <c r="A351" t="s">
        <v>1497</v>
      </c>
      <c r="B351" t="s">
        <v>44</v>
      </c>
      <c r="C351" t="s">
        <v>69</v>
      </c>
      <c r="D351" t="s">
        <v>72</v>
      </c>
      <c r="E351" t="s">
        <v>1399</v>
      </c>
      <c r="F351" t="s">
        <v>1498</v>
      </c>
      <c r="G351" t="s">
        <v>1499</v>
      </c>
      <c r="H351" t="s">
        <v>488</v>
      </c>
      <c r="I351" t="s">
        <v>76</v>
      </c>
    </row>
    <row r="352" spans="1:9">
      <c r="A352" t="s">
        <v>1497</v>
      </c>
      <c r="B352" t="s">
        <v>44</v>
      </c>
      <c r="C352" t="s">
        <v>69</v>
      </c>
      <c r="D352" t="s">
        <v>72</v>
      </c>
      <c r="E352" t="s">
        <v>147</v>
      </c>
      <c r="F352" t="s">
        <v>1500</v>
      </c>
      <c r="G352" t="s">
        <v>1501</v>
      </c>
      <c r="H352" t="s">
        <v>488</v>
      </c>
      <c r="I352" t="s">
        <v>76</v>
      </c>
    </row>
    <row r="353" spans="1:9">
      <c r="A353" t="s">
        <v>1497</v>
      </c>
      <c r="B353" t="s">
        <v>44</v>
      </c>
      <c r="C353" t="s">
        <v>69</v>
      </c>
      <c r="D353" t="s">
        <v>72</v>
      </c>
      <c r="E353" t="s">
        <v>501</v>
      </c>
      <c r="F353" t="s">
        <v>1502</v>
      </c>
      <c r="G353" t="s">
        <v>1503</v>
      </c>
      <c r="H353" t="s">
        <v>488</v>
      </c>
      <c r="I353" t="s">
        <v>76</v>
      </c>
    </row>
    <row r="354" spans="1:9">
      <c r="A354" t="s">
        <v>1504</v>
      </c>
      <c r="B354" t="s">
        <v>44</v>
      </c>
      <c r="C354" t="s">
        <v>69</v>
      </c>
      <c r="D354" t="s">
        <v>72</v>
      </c>
      <c r="E354" t="s">
        <v>217</v>
      </c>
      <c r="F354" t="s">
        <v>1505</v>
      </c>
      <c r="G354" t="s">
        <v>1506</v>
      </c>
      <c r="H354" t="s">
        <v>1507</v>
      </c>
      <c r="I354" t="s">
        <v>76</v>
      </c>
    </row>
    <row r="355" spans="1:9">
      <c r="A355" t="s">
        <v>1508</v>
      </c>
      <c r="B355" t="s">
        <v>44</v>
      </c>
      <c r="C355" t="s">
        <v>69</v>
      </c>
      <c r="D355" t="s">
        <v>72</v>
      </c>
      <c r="E355" t="s">
        <v>147</v>
      </c>
      <c r="F355" t="s">
        <v>1509</v>
      </c>
      <c r="G355" t="s">
        <v>1510</v>
      </c>
      <c r="H355" t="s">
        <v>1511</v>
      </c>
      <c r="I355" t="s">
        <v>76</v>
      </c>
    </row>
    <row r="356" spans="1:9">
      <c r="A356" t="s">
        <v>1512</v>
      </c>
      <c r="B356" t="s">
        <v>44</v>
      </c>
      <c r="C356" t="s">
        <v>77</v>
      </c>
      <c r="D356" t="s">
        <v>126</v>
      </c>
      <c r="E356" t="s">
        <v>530</v>
      </c>
      <c r="F356" t="s">
        <v>1513</v>
      </c>
      <c r="G356" t="s">
        <v>1514</v>
      </c>
      <c r="H356" t="s">
        <v>1515</v>
      </c>
      <c r="I356" t="s">
        <v>76</v>
      </c>
    </row>
    <row r="357" spans="1:9">
      <c r="A357" t="s">
        <v>1516</v>
      </c>
      <c r="B357" t="s">
        <v>44</v>
      </c>
      <c r="C357" t="s">
        <v>69</v>
      </c>
      <c r="D357" t="s">
        <v>72</v>
      </c>
      <c r="E357" t="s">
        <v>197</v>
      </c>
      <c r="F357" t="s">
        <v>1517</v>
      </c>
      <c r="G357" t="s">
        <v>1518</v>
      </c>
      <c r="H357" t="s">
        <v>1519</v>
      </c>
      <c r="I357" t="s">
        <v>76</v>
      </c>
    </row>
    <row r="358" spans="1:9">
      <c r="A358" t="s">
        <v>1520</v>
      </c>
      <c r="B358" t="s">
        <v>44</v>
      </c>
      <c r="C358" t="s">
        <v>69</v>
      </c>
      <c r="D358" t="s">
        <v>72</v>
      </c>
      <c r="E358" t="s">
        <v>834</v>
      </c>
      <c r="F358" t="s">
        <v>1521</v>
      </c>
      <c r="G358" t="s">
        <v>1522</v>
      </c>
      <c r="H358" t="s">
        <v>488</v>
      </c>
      <c r="I358" t="s">
        <v>76</v>
      </c>
    </row>
    <row r="359" spans="1:9">
      <c r="A359" t="s">
        <v>1523</v>
      </c>
      <c r="B359" t="s">
        <v>44</v>
      </c>
      <c r="C359" t="s">
        <v>69</v>
      </c>
      <c r="D359" t="s">
        <v>72</v>
      </c>
      <c r="E359" t="s">
        <v>623</v>
      </c>
      <c r="F359" t="s">
        <v>1524</v>
      </c>
      <c r="G359" t="s">
        <v>488</v>
      </c>
      <c r="H359" t="s">
        <v>1525</v>
      </c>
      <c r="I359" t="s">
        <v>76</v>
      </c>
    </row>
    <row r="360" spans="1:9">
      <c r="A360" t="s">
        <v>1526</v>
      </c>
      <c r="B360" t="s">
        <v>44</v>
      </c>
      <c r="C360" t="s">
        <v>69</v>
      </c>
      <c r="D360" t="s">
        <v>72</v>
      </c>
      <c r="E360" t="s">
        <v>147</v>
      </c>
      <c r="F360" t="s">
        <v>1527</v>
      </c>
      <c r="G360" t="s">
        <v>1528</v>
      </c>
      <c r="H360" t="s">
        <v>1529</v>
      </c>
      <c r="I360" t="s">
        <v>76</v>
      </c>
    </row>
    <row r="361" spans="1:9">
      <c r="A361" t="s">
        <v>1530</v>
      </c>
      <c r="B361" t="s">
        <v>44</v>
      </c>
      <c r="C361" t="s">
        <v>69</v>
      </c>
      <c r="D361" t="s">
        <v>80</v>
      </c>
      <c r="E361" t="s">
        <v>1477</v>
      </c>
      <c r="F361" t="s">
        <v>1531</v>
      </c>
      <c r="G361" t="s">
        <v>1532</v>
      </c>
      <c r="H361" t="s">
        <v>1533</v>
      </c>
      <c r="I361" t="s">
        <v>76</v>
      </c>
    </row>
    <row r="362" spans="1:9">
      <c r="A362" t="s">
        <v>1534</v>
      </c>
      <c r="B362" t="s">
        <v>44</v>
      </c>
      <c r="C362" t="s">
        <v>116</v>
      </c>
      <c r="D362" t="s">
        <v>72</v>
      </c>
      <c r="E362" t="s">
        <v>426</v>
      </c>
      <c r="F362" t="s">
        <v>1535</v>
      </c>
      <c r="G362" t="s">
        <v>1536</v>
      </c>
      <c r="H362" t="s">
        <v>1537</v>
      </c>
      <c r="I362" t="s">
        <v>76</v>
      </c>
    </row>
    <row r="363" spans="1:9">
      <c r="A363" t="s">
        <v>1538</v>
      </c>
      <c r="B363" t="s">
        <v>44</v>
      </c>
      <c r="C363" t="s">
        <v>116</v>
      </c>
      <c r="D363" t="s">
        <v>104</v>
      </c>
      <c r="E363" t="s">
        <v>167</v>
      </c>
      <c r="F363" t="s">
        <v>1539</v>
      </c>
      <c r="G363" t="s">
        <v>1540</v>
      </c>
      <c r="H363" t="s">
        <v>1541</v>
      </c>
      <c r="I363" t="s">
        <v>76</v>
      </c>
    </row>
    <row r="364" spans="1:9">
      <c r="A364" t="s">
        <v>1542</v>
      </c>
      <c r="B364" t="s">
        <v>44</v>
      </c>
      <c r="C364" t="s">
        <v>86</v>
      </c>
      <c r="D364" t="s">
        <v>72</v>
      </c>
      <c r="E364" t="s">
        <v>1543</v>
      </c>
      <c r="F364" t="s">
        <v>1544</v>
      </c>
      <c r="G364" t="s">
        <v>488</v>
      </c>
      <c r="H364" t="s">
        <v>488</v>
      </c>
      <c r="I364" t="s">
        <v>76</v>
      </c>
    </row>
    <row r="365" spans="1:9">
      <c r="A365" t="s">
        <v>1545</v>
      </c>
      <c r="B365" t="s">
        <v>44</v>
      </c>
      <c r="C365" t="s">
        <v>69</v>
      </c>
      <c r="D365" t="s">
        <v>72</v>
      </c>
      <c r="E365" t="s">
        <v>1111</v>
      </c>
      <c r="F365" t="s">
        <v>1546</v>
      </c>
      <c r="G365" t="s">
        <v>1547</v>
      </c>
      <c r="H365" t="s">
        <v>1548</v>
      </c>
      <c r="I365" t="s">
        <v>76</v>
      </c>
    </row>
    <row r="366" spans="1:9">
      <c r="A366" t="s">
        <v>1549</v>
      </c>
      <c r="B366" t="s">
        <v>44</v>
      </c>
      <c r="C366" t="s">
        <v>116</v>
      </c>
      <c r="D366" t="s">
        <v>108</v>
      </c>
      <c r="E366" t="s">
        <v>1550</v>
      </c>
      <c r="F366" t="s">
        <v>1551</v>
      </c>
      <c r="G366" t="s">
        <v>1552</v>
      </c>
      <c r="H366" t="s">
        <v>1553</v>
      </c>
      <c r="I366" t="s">
        <v>76</v>
      </c>
    </row>
    <row r="367" spans="1:9">
      <c r="A367" t="s">
        <v>1554</v>
      </c>
      <c r="B367" t="s">
        <v>44</v>
      </c>
      <c r="C367" t="s">
        <v>102</v>
      </c>
      <c r="D367" t="s">
        <v>118</v>
      </c>
      <c r="E367" t="s">
        <v>1555</v>
      </c>
      <c r="F367" t="s">
        <v>1556</v>
      </c>
      <c r="G367" t="s">
        <v>1557</v>
      </c>
      <c r="H367" t="s">
        <v>488</v>
      </c>
      <c r="I367" t="s">
        <v>76</v>
      </c>
    </row>
    <row r="368" spans="1:9">
      <c r="A368" t="s">
        <v>1558</v>
      </c>
      <c r="B368" t="s">
        <v>44</v>
      </c>
      <c r="C368" t="s">
        <v>69</v>
      </c>
      <c r="D368" t="s">
        <v>80</v>
      </c>
      <c r="E368" t="s">
        <v>1416</v>
      </c>
      <c r="F368" t="s">
        <v>1559</v>
      </c>
      <c r="G368" t="s">
        <v>1560</v>
      </c>
      <c r="H368" t="s">
        <v>488</v>
      </c>
      <c r="I368" t="s">
        <v>76</v>
      </c>
    </row>
    <row r="369" spans="1:9">
      <c r="A369" t="s">
        <v>1561</v>
      </c>
      <c r="B369" t="s">
        <v>44</v>
      </c>
      <c r="C369" t="s">
        <v>116</v>
      </c>
      <c r="D369" t="s">
        <v>72</v>
      </c>
      <c r="E369" t="s">
        <v>217</v>
      </c>
      <c r="F369" t="s">
        <v>1562</v>
      </c>
      <c r="G369" t="s">
        <v>1563</v>
      </c>
      <c r="H369" t="s">
        <v>1564</v>
      </c>
      <c r="I369" t="s">
        <v>76</v>
      </c>
    </row>
    <row r="370" spans="1:9">
      <c r="A370" t="s">
        <v>1565</v>
      </c>
      <c r="B370" t="s">
        <v>44</v>
      </c>
      <c r="C370" t="s">
        <v>106</v>
      </c>
      <c r="D370" t="s">
        <v>98</v>
      </c>
      <c r="E370" t="s">
        <v>163</v>
      </c>
      <c r="F370" t="s">
        <v>1566</v>
      </c>
      <c r="G370" t="s">
        <v>1567</v>
      </c>
      <c r="H370" t="s">
        <v>488</v>
      </c>
      <c r="I370" t="s">
        <v>76</v>
      </c>
    </row>
    <row r="371" spans="1:9">
      <c r="A371" t="s">
        <v>1568</v>
      </c>
      <c r="B371" t="s">
        <v>44</v>
      </c>
      <c r="C371" t="s">
        <v>116</v>
      </c>
      <c r="D371" t="s">
        <v>104</v>
      </c>
      <c r="E371" t="s">
        <v>167</v>
      </c>
      <c r="F371" t="s">
        <v>1569</v>
      </c>
      <c r="G371" t="s">
        <v>1570</v>
      </c>
      <c r="H371" t="s">
        <v>1571</v>
      </c>
      <c r="I371" t="s">
        <v>76</v>
      </c>
    </row>
    <row r="372" spans="1:9">
      <c r="A372" t="s">
        <v>1572</v>
      </c>
      <c r="B372" t="s">
        <v>44</v>
      </c>
      <c r="C372" t="s">
        <v>69</v>
      </c>
      <c r="D372" t="s">
        <v>72</v>
      </c>
      <c r="E372" t="s">
        <v>217</v>
      </c>
      <c r="F372" t="s">
        <v>1573</v>
      </c>
      <c r="G372" t="s">
        <v>1574</v>
      </c>
      <c r="H372" t="s">
        <v>488</v>
      </c>
      <c r="I372" t="s">
        <v>76</v>
      </c>
    </row>
    <row r="373" spans="1:9">
      <c r="A373" t="s">
        <v>1575</v>
      </c>
      <c r="B373" t="s">
        <v>44</v>
      </c>
      <c r="C373" t="s">
        <v>102</v>
      </c>
      <c r="D373" t="s">
        <v>72</v>
      </c>
      <c r="E373" t="s">
        <v>1576</v>
      </c>
      <c r="F373" t="s">
        <v>1577</v>
      </c>
      <c r="G373" t="s">
        <v>1578</v>
      </c>
      <c r="H373" t="s">
        <v>1579</v>
      </c>
      <c r="I373" t="s">
        <v>76</v>
      </c>
    </row>
    <row r="374" spans="1:9">
      <c r="A374" t="s">
        <v>1580</v>
      </c>
      <c r="B374" t="s">
        <v>44</v>
      </c>
      <c r="C374" t="s">
        <v>102</v>
      </c>
      <c r="D374" t="s">
        <v>72</v>
      </c>
      <c r="E374" t="s">
        <v>352</v>
      </c>
      <c r="F374" t="s">
        <v>1581</v>
      </c>
      <c r="G374" t="s">
        <v>1582</v>
      </c>
      <c r="H374" t="s">
        <v>488</v>
      </c>
      <c r="I374" t="s">
        <v>76</v>
      </c>
    </row>
    <row r="375" spans="1:9">
      <c r="A375" t="s">
        <v>1583</v>
      </c>
      <c r="B375" t="s">
        <v>44</v>
      </c>
      <c r="C375" t="s">
        <v>102</v>
      </c>
      <c r="D375" t="s">
        <v>72</v>
      </c>
      <c r="E375" t="s">
        <v>1584</v>
      </c>
      <c r="F375" t="s">
        <v>1585</v>
      </c>
      <c r="G375" t="s">
        <v>488</v>
      </c>
      <c r="H375" t="s">
        <v>488</v>
      </c>
      <c r="I375" t="s">
        <v>76</v>
      </c>
    </row>
    <row r="376" spans="1:9">
      <c r="A376" t="s">
        <v>1586</v>
      </c>
      <c r="B376" t="s">
        <v>44</v>
      </c>
      <c r="C376" t="s">
        <v>69</v>
      </c>
      <c r="D376" t="s">
        <v>72</v>
      </c>
      <c r="E376" t="s">
        <v>623</v>
      </c>
      <c r="F376" t="s">
        <v>1587</v>
      </c>
      <c r="G376" t="s">
        <v>1588</v>
      </c>
      <c r="H376" t="s">
        <v>488</v>
      </c>
      <c r="I376" t="s">
        <v>76</v>
      </c>
    </row>
    <row r="377" spans="1:9">
      <c r="A377" t="s">
        <v>1589</v>
      </c>
      <c r="B377" t="s">
        <v>44</v>
      </c>
      <c r="C377" t="s">
        <v>69</v>
      </c>
      <c r="D377" t="s">
        <v>72</v>
      </c>
      <c r="E377" t="s">
        <v>143</v>
      </c>
      <c r="F377" t="s">
        <v>1590</v>
      </c>
      <c r="G377" t="s">
        <v>1591</v>
      </c>
      <c r="H377" t="s">
        <v>1592</v>
      </c>
      <c r="I377" t="s">
        <v>76</v>
      </c>
    </row>
    <row r="378" spans="1:9">
      <c r="A378" t="s">
        <v>1593</v>
      </c>
      <c r="B378" t="s">
        <v>44</v>
      </c>
      <c r="C378" t="s">
        <v>69</v>
      </c>
      <c r="D378" t="s">
        <v>72</v>
      </c>
      <c r="E378" t="s">
        <v>147</v>
      </c>
      <c r="F378" t="s">
        <v>1594</v>
      </c>
      <c r="G378" t="s">
        <v>1595</v>
      </c>
      <c r="H378" t="s">
        <v>1596</v>
      </c>
      <c r="I378" t="s">
        <v>76</v>
      </c>
    </row>
    <row r="379" spans="1:9">
      <c r="A379" t="s">
        <v>1597</v>
      </c>
      <c r="B379" t="s">
        <v>44</v>
      </c>
      <c r="C379" t="s">
        <v>77</v>
      </c>
      <c r="D379" t="s">
        <v>72</v>
      </c>
      <c r="E379" t="s">
        <v>655</v>
      </c>
      <c r="F379" t="s">
        <v>1598</v>
      </c>
      <c r="G379" t="s">
        <v>1599</v>
      </c>
      <c r="H379" t="s">
        <v>1600</v>
      </c>
      <c r="I379" t="s">
        <v>76</v>
      </c>
    </row>
    <row r="380" spans="1:9">
      <c r="A380" t="s">
        <v>1601</v>
      </c>
      <c r="B380" t="s">
        <v>44</v>
      </c>
      <c r="C380" t="s">
        <v>69</v>
      </c>
      <c r="D380" t="s">
        <v>72</v>
      </c>
      <c r="E380" t="s">
        <v>369</v>
      </c>
      <c r="F380" t="s">
        <v>1602</v>
      </c>
      <c r="G380" t="s">
        <v>1603</v>
      </c>
      <c r="H380" t="s">
        <v>1604</v>
      </c>
      <c r="I380" t="s">
        <v>76</v>
      </c>
    </row>
    <row r="381" spans="1:9">
      <c r="A381" t="s">
        <v>1605</v>
      </c>
      <c r="B381" t="s">
        <v>44</v>
      </c>
      <c r="C381" t="s">
        <v>69</v>
      </c>
      <c r="D381" t="s">
        <v>72</v>
      </c>
      <c r="E381" t="s">
        <v>232</v>
      </c>
      <c r="F381" t="s">
        <v>1606</v>
      </c>
      <c r="G381" t="s">
        <v>1607</v>
      </c>
      <c r="H381" t="s">
        <v>1608</v>
      </c>
      <c r="I381" t="s">
        <v>76</v>
      </c>
    </row>
    <row r="382" spans="1:9">
      <c r="A382" t="s">
        <v>1609</v>
      </c>
      <c r="B382" t="s">
        <v>44</v>
      </c>
      <c r="C382" t="s">
        <v>110</v>
      </c>
      <c r="D382" t="s">
        <v>89</v>
      </c>
      <c r="E382" t="s">
        <v>212</v>
      </c>
      <c r="F382" t="s">
        <v>1610</v>
      </c>
      <c r="G382" t="s">
        <v>488</v>
      </c>
      <c r="H382" t="s">
        <v>488</v>
      </c>
      <c r="I382" t="s">
        <v>76</v>
      </c>
    </row>
    <row r="383" spans="1:9">
      <c r="A383" t="s">
        <v>1611</v>
      </c>
      <c r="B383" t="s">
        <v>44</v>
      </c>
      <c r="C383" t="s">
        <v>110</v>
      </c>
      <c r="D383" t="s">
        <v>72</v>
      </c>
      <c r="E383" t="s">
        <v>1612</v>
      </c>
      <c r="F383" t="s">
        <v>1613</v>
      </c>
      <c r="G383" t="s">
        <v>1614</v>
      </c>
      <c r="H383" t="s">
        <v>488</v>
      </c>
      <c r="I383" t="s">
        <v>76</v>
      </c>
    </row>
    <row r="384" spans="1:9">
      <c r="A384" t="s">
        <v>1615</v>
      </c>
      <c r="B384" t="s">
        <v>44</v>
      </c>
      <c r="C384" t="s">
        <v>69</v>
      </c>
      <c r="D384" t="s">
        <v>72</v>
      </c>
      <c r="E384" t="s">
        <v>1616</v>
      </c>
      <c r="F384" t="s">
        <v>1617</v>
      </c>
      <c r="G384" t="s">
        <v>1618</v>
      </c>
      <c r="H384" t="s">
        <v>488</v>
      </c>
      <c r="I384" t="s">
        <v>76</v>
      </c>
    </row>
    <row r="385" spans="1:9">
      <c r="A385" t="s">
        <v>1619</v>
      </c>
      <c r="B385" t="s">
        <v>44</v>
      </c>
      <c r="C385" t="s">
        <v>69</v>
      </c>
      <c r="D385" t="s">
        <v>72</v>
      </c>
      <c r="E385" t="s">
        <v>750</v>
      </c>
      <c r="F385" t="s">
        <v>1620</v>
      </c>
      <c r="G385" t="s">
        <v>1621</v>
      </c>
      <c r="H385" t="s">
        <v>488</v>
      </c>
      <c r="I385" t="s">
        <v>76</v>
      </c>
    </row>
    <row r="386" spans="1:9">
      <c r="A386" t="s">
        <v>1622</v>
      </c>
      <c r="B386" t="s">
        <v>44</v>
      </c>
      <c r="C386" t="s">
        <v>69</v>
      </c>
      <c r="D386" t="s">
        <v>72</v>
      </c>
      <c r="E386" t="s">
        <v>241</v>
      </c>
      <c r="F386" t="s">
        <v>1623</v>
      </c>
      <c r="G386" t="s">
        <v>1624</v>
      </c>
      <c r="H386" t="s">
        <v>1625</v>
      </c>
      <c r="I386" t="s">
        <v>76</v>
      </c>
    </row>
    <row r="387" spans="1:9">
      <c r="A387" t="s">
        <v>1626</v>
      </c>
      <c r="B387" t="s">
        <v>44</v>
      </c>
      <c r="C387" t="s">
        <v>69</v>
      </c>
      <c r="D387" t="s">
        <v>72</v>
      </c>
      <c r="E387" t="s">
        <v>750</v>
      </c>
      <c r="F387" t="s">
        <v>1627</v>
      </c>
      <c r="G387" t="s">
        <v>1628</v>
      </c>
      <c r="H387" t="s">
        <v>1629</v>
      </c>
      <c r="I387" t="s">
        <v>76</v>
      </c>
    </row>
    <row r="388" spans="1:9">
      <c r="A388" t="s">
        <v>1630</v>
      </c>
      <c r="B388" t="s">
        <v>44</v>
      </c>
      <c r="C388" t="s">
        <v>69</v>
      </c>
      <c r="D388" t="s">
        <v>72</v>
      </c>
      <c r="E388" t="s">
        <v>655</v>
      </c>
      <c r="F388" t="s">
        <v>1631</v>
      </c>
      <c r="G388" t="s">
        <v>1632</v>
      </c>
      <c r="H388" t="s">
        <v>1633</v>
      </c>
      <c r="I388" t="s">
        <v>76</v>
      </c>
    </row>
    <row r="389" spans="1:9">
      <c r="A389" t="s">
        <v>1634</v>
      </c>
      <c r="B389" t="s">
        <v>44</v>
      </c>
      <c r="C389" t="s">
        <v>69</v>
      </c>
      <c r="D389" t="s">
        <v>72</v>
      </c>
      <c r="E389" t="s">
        <v>232</v>
      </c>
      <c r="F389" t="s">
        <v>1635</v>
      </c>
      <c r="G389" t="s">
        <v>1636</v>
      </c>
      <c r="H389" t="s">
        <v>1637</v>
      </c>
      <c r="I389" t="s">
        <v>76</v>
      </c>
    </row>
    <row r="390" spans="1:9">
      <c r="A390" t="s">
        <v>1638</v>
      </c>
      <c r="B390" t="s">
        <v>44</v>
      </c>
      <c r="C390" t="s">
        <v>116</v>
      </c>
      <c r="D390" t="s">
        <v>115</v>
      </c>
      <c r="E390" t="s">
        <v>1639</v>
      </c>
      <c r="F390" t="s">
        <v>1640</v>
      </c>
      <c r="G390" t="s">
        <v>488</v>
      </c>
      <c r="H390" t="s">
        <v>1641</v>
      </c>
      <c r="I390" t="s">
        <v>76</v>
      </c>
    </row>
    <row r="391" spans="1:9">
      <c r="A391" t="s">
        <v>1642</v>
      </c>
      <c r="B391" t="s">
        <v>44</v>
      </c>
      <c r="C391" t="s">
        <v>77</v>
      </c>
      <c r="D391" t="s">
        <v>104</v>
      </c>
      <c r="E391" t="s">
        <v>1643</v>
      </c>
      <c r="F391" t="s">
        <v>1644</v>
      </c>
      <c r="G391" t="s">
        <v>488</v>
      </c>
      <c r="H391" t="s">
        <v>488</v>
      </c>
      <c r="I391" t="s">
        <v>76</v>
      </c>
    </row>
    <row r="392" spans="1:9">
      <c r="A392" t="s">
        <v>1645</v>
      </c>
      <c r="B392" t="s">
        <v>44</v>
      </c>
      <c r="C392" t="s">
        <v>69</v>
      </c>
      <c r="D392" t="s">
        <v>72</v>
      </c>
      <c r="E392" t="s">
        <v>287</v>
      </c>
      <c r="F392" t="s">
        <v>1646</v>
      </c>
      <c r="G392" t="s">
        <v>1647</v>
      </c>
      <c r="H392" t="s">
        <v>1648</v>
      </c>
      <c r="I392" t="s">
        <v>76</v>
      </c>
    </row>
    <row r="393" spans="1:9">
      <c r="A393" t="s">
        <v>1649</v>
      </c>
      <c r="B393" t="s">
        <v>44</v>
      </c>
      <c r="C393" t="s">
        <v>77</v>
      </c>
      <c r="D393" t="s">
        <v>72</v>
      </c>
      <c r="E393" t="s">
        <v>426</v>
      </c>
      <c r="F393" t="s">
        <v>1650</v>
      </c>
      <c r="G393" t="s">
        <v>1651</v>
      </c>
      <c r="H393" t="s">
        <v>1652</v>
      </c>
      <c r="I393" t="s">
        <v>76</v>
      </c>
    </row>
    <row r="394" spans="1:9">
      <c r="A394" t="s">
        <v>1653</v>
      </c>
      <c r="B394" t="s">
        <v>44</v>
      </c>
      <c r="C394" t="s">
        <v>77</v>
      </c>
      <c r="D394" t="s">
        <v>112</v>
      </c>
      <c r="E394" t="s">
        <v>1447</v>
      </c>
      <c r="F394" t="s">
        <v>1654</v>
      </c>
      <c r="G394" t="s">
        <v>1655</v>
      </c>
      <c r="H394" t="s">
        <v>1656</v>
      </c>
      <c r="I394" t="s">
        <v>76</v>
      </c>
    </row>
    <row r="395" spans="1:9">
      <c r="A395" t="s">
        <v>1657</v>
      </c>
      <c r="B395" t="s">
        <v>44</v>
      </c>
      <c r="C395" t="s">
        <v>69</v>
      </c>
      <c r="D395" t="s">
        <v>72</v>
      </c>
      <c r="E395" t="s">
        <v>1658</v>
      </c>
      <c r="F395" t="s">
        <v>1659</v>
      </c>
      <c r="G395" t="s">
        <v>1660</v>
      </c>
      <c r="H395" t="s">
        <v>1661</v>
      </c>
      <c r="I395" t="s">
        <v>76</v>
      </c>
    </row>
    <row r="396" spans="1:9">
      <c r="A396" t="s">
        <v>1662</v>
      </c>
      <c r="B396" t="s">
        <v>44</v>
      </c>
      <c r="C396" t="s">
        <v>69</v>
      </c>
      <c r="D396" t="s">
        <v>72</v>
      </c>
      <c r="E396" t="s">
        <v>1658</v>
      </c>
      <c r="F396" t="s">
        <v>1663</v>
      </c>
      <c r="G396" t="s">
        <v>488</v>
      </c>
      <c r="H396" t="s">
        <v>488</v>
      </c>
      <c r="I396" t="s">
        <v>76</v>
      </c>
    </row>
    <row r="397" spans="1:9">
      <c r="A397" t="s">
        <v>1664</v>
      </c>
      <c r="B397" t="s">
        <v>44</v>
      </c>
      <c r="C397" t="s">
        <v>69</v>
      </c>
      <c r="D397" t="s">
        <v>72</v>
      </c>
      <c r="E397" t="s">
        <v>1665</v>
      </c>
      <c r="F397" t="s">
        <v>1666</v>
      </c>
      <c r="G397" t="s">
        <v>1667</v>
      </c>
      <c r="H397" t="s">
        <v>1668</v>
      </c>
      <c r="I397" t="s">
        <v>76</v>
      </c>
    </row>
    <row r="398" spans="1:9">
      <c r="A398" t="s">
        <v>1669</v>
      </c>
      <c r="B398" t="s">
        <v>44</v>
      </c>
      <c r="C398" t="s">
        <v>69</v>
      </c>
      <c r="D398" t="s">
        <v>72</v>
      </c>
      <c r="E398" t="s">
        <v>1670</v>
      </c>
      <c r="F398" t="s">
        <v>1671</v>
      </c>
      <c r="G398" t="s">
        <v>1672</v>
      </c>
      <c r="H398" t="s">
        <v>1673</v>
      </c>
      <c r="I398" t="s">
        <v>76</v>
      </c>
    </row>
    <row r="399" spans="1:9">
      <c r="A399" t="s">
        <v>1674</v>
      </c>
      <c r="B399" t="s">
        <v>44</v>
      </c>
      <c r="C399" t="s">
        <v>86</v>
      </c>
      <c r="D399" t="s">
        <v>72</v>
      </c>
      <c r="E399" t="s">
        <v>1675</v>
      </c>
      <c r="F399" t="s">
        <v>1676</v>
      </c>
      <c r="G399" t="s">
        <v>1677</v>
      </c>
      <c r="H399" t="s">
        <v>1678</v>
      </c>
      <c r="I399" t="s">
        <v>76</v>
      </c>
    </row>
    <row r="400" spans="1:9">
      <c r="I400" t="s">
        <v>76</v>
      </c>
    </row>
    <row r="401" spans="9:9">
      <c r="I401" t="s">
        <v>76</v>
      </c>
    </row>
    <row r="402" spans="9:9">
      <c r="I402" t="s">
        <v>76</v>
      </c>
    </row>
    <row r="403" spans="9:9">
      <c r="I403" t="s">
        <v>76</v>
      </c>
    </row>
    <row r="404" spans="9:9">
      <c r="I404" t="s">
        <v>76</v>
      </c>
    </row>
    <row r="405" spans="9:9">
      <c r="I405" t="s">
        <v>76</v>
      </c>
    </row>
    <row r="406" spans="9:9">
      <c r="I406" t="s">
        <v>76</v>
      </c>
    </row>
    <row r="407" spans="9:9">
      <c r="I407" t="s">
        <v>76</v>
      </c>
    </row>
    <row r="408" spans="9:9">
      <c r="I408" t="s">
        <v>76</v>
      </c>
    </row>
    <row r="409" spans="9:9">
      <c r="I409" t="s">
        <v>76</v>
      </c>
    </row>
    <row r="410" spans="9:9">
      <c r="I410" t="s">
        <v>76</v>
      </c>
    </row>
    <row r="411" spans="9:9">
      <c r="I411" t="s">
        <v>76</v>
      </c>
    </row>
    <row r="412" spans="9:9">
      <c r="I412" t="s">
        <v>76</v>
      </c>
    </row>
    <row r="413" spans="9:9">
      <c r="I413" t="s">
        <v>76</v>
      </c>
    </row>
    <row r="414" spans="9:9">
      <c r="I414" t="s">
        <v>76</v>
      </c>
    </row>
    <row r="415" spans="9:9">
      <c r="I415" t="s">
        <v>76</v>
      </c>
    </row>
    <row r="416" spans="9:9">
      <c r="I416" t="s">
        <v>76</v>
      </c>
    </row>
    <row r="417" spans="9:9">
      <c r="I417" t="s">
        <v>76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error="Selecione um segmento válido" xr:uid="{00000000-0002-0000-0200-000001000000}">
          <x14:formula1>
            <xm:f>'Tabelas de Apoio'!$A$2:$A$10</xm:f>
          </x14:formula1>
          <xm:sqref>F306:F314 C2:C476</xm:sqref>
        </x14:dataValidation>
        <x14:dataValidation type="list" allowBlank="1" error="Selecione um status válido" xr:uid="{00000000-0002-0000-0200-000003000000}">
          <x14:formula1>
            <xm:f>'Tabelas de Apoio'!$Q$2:$Q$4</xm:f>
          </x14:formula1>
          <xm:sqref>I2:I417</xm:sqref>
        </x14:dataValidation>
        <x14:dataValidation type="list" errorTitle="Entrada Inválida" error="Selecione um tipo válido" xr:uid="{00000000-0002-0000-0200-000000000000}">
          <x14:formula1>
            <xm:f>'Tabelas de Apoio'!$O$2:$O$4</xm:f>
          </x14:formula1>
          <xm:sqref>B2:B399</xm:sqref>
        </x14:dataValidation>
        <x14:dataValidation type="list" allowBlank="1" error="Selecione um estado válido" xr:uid="{00000000-0002-0000-0200-000002000000}">
          <x14:formula1>
            <xm:f>'Tabelas de Apoio'!$G$2:$G$20</xm:f>
          </x14:formula1>
          <xm:sqref>D2:D747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5"/>
  <sheetViews>
    <sheetView workbookViewId="0">
      <pane ySplit="1" topLeftCell="A2" activePane="bottomLeft" state="frozen"/>
      <selection pane="bottomLeft" activeCell="A6" sqref="A6"/>
    </sheetView>
  </sheetViews>
  <sheetFormatPr defaultRowHeight="14.45"/>
  <cols>
    <col min="1" max="1" width="30" customWidth="1"/>
    <col min="2" max="2" width="35" customWidth="1"/>
    <col min="3" max="3" width="10" customWidth="1"/>
    <col min="4" max="4" width="20" customWidth="1"/>
    <col min="5" max="5" width="18" customWidth="1"/>
    <col min="6" max="6" width="20" customWidth="1"/>
    <col min="7" max="8" width="40" customWidth="1"/>
    <col min="9" max="9" width="35" customWidth="1"/>
    <col min="10" max="10" width="18" customWidth="1"/>
    <col min="11" max="11" width="35" customWidth="1"/>
  </cols>
  <sheetData>
    <row r="1" spans="1:11">
      <c r="A1" s="4" t="s">
        <v>132</v>
      </c>
      <c r="B1" s="4" t="s">
        <v>1679</v>
      </c>
      <c r="C1" s="4" t="s">
        <v>1680</v>
      </c>
      <c r="D1" s="4" t="s">
        <v>131</v>
      </c>
      <c r="E1" s="4" t="s">
        <v>1681</v>
      </c>
      <c r="F1" s="4" t="s">
        <v>1682</v>
      </c>
      <c r="G1" s="4" t="s">
        <v>1683</v>
      </c>
      <c r="H1" s="4" t="s">
        <v>1684</v>
      </c>
      <c r="I1" s="4" t="s">
        <v>1685</v>
      </c>
      <c r="J1" s="4" t="s">
        <v>1686</v>
      </c>
      <c r="K1" s="4" t="s">
        <v>137</v>
      </c>
    </row>
    <row r="2" spans="1:11">
      <c r="A2" s="49" t="s">
        <v>1687</v>
      </c>
      <c r="B2" s="50" t="s">
        <v>1688</v>
      </c>
      <c r="C2" s="49" t="s">
        <v>108</v>
      </c>
      <c r="D2" s="49" t="s">
        <v>1689</v>
      </c>
      <c r="E2" s="49">
        <v>1</v>
      </c>
      <c r="F2" s="49" t="s">
        <v>1690</v>
      </c>
      <c r="G2" s="49">
        <v>2006</v>
      </c>
      <c r="H2" s="50" t="s">
        <v>1691</v>
      </c>
      <c r="I2" s="50" t="s">
        <v>1691</v>
      </c>
      <c r="J2" s="50" t="s">
        <v>1691</v>
      </c>
      <c r="K2" s="50" t="s">
        <v>1692</v>
      </c>
    </row>
    <row r="3" spans="1:11" ht="130.5">
      <c r="A3" s="49" t="s">
        <v>1693</v>
      </c>
      <c r="B3" s="50" t="s">
        <v>1694</v>
      </c>
      <c r="C3" s="49" t="s">
        <v>1695</v>
      </c>
      <c r="D3" s="49" t="s">
        <v>376</v>
      </c>
      <c r="E3" s="49">
        <v>1</v>
      </c>
      <c r="F3" s="49" t="s">
        <v>1696</v>
      </c>
      <c r="G3" s="49">
        <v>2010</v>
      </c>
      <c r="H3" s="50" t="s">
        <v>1697</v>
      </c>
      <c r="I3" s="50" t="s">
        <v>1691</v>
      </c>
      <c r="J3" s="50" t="s">
        <v>1691</v>
      </c>
      <c r="K3" s="50" t="s">
        <v>1698</v>
      </c>
    </row>
    <row r="4" spans="1:11" ht="72.599999999999994">
      <c r="A4" s="49" t="s">
        <v>1699</v>
      </c>
      <c r="B4" s="50" t="s">
        <v>1700</v>
      </c>
      <c r="C4" s="49" t="s">
        <v>1695</v>
      </c>
      <c r="D4" s="49" t="s">
        <v>287</v>
      </c>
      <c r="E4" s="49">
        <v>1</v>
      </c>
      <c r="F4" s="49" t="s">
        <v>1696</v>
      </c>
      <c r="G4" s="49">
        <v>2002</v>
      </c>
      <c r="H4" s="50" t="s">
        <v>1701</v>
      </c>
      <c r="I4" s="50" t="s">
        <v>1691</v>
      </c>
      <c r="J4" s="50" t="s">
        <v>1691</v>
      </c>
      <c r="K4" s="50" t="s">
        <v>1702</v>
      </c>
    </row>
    <row r="5" spans="1:11" ht="101.45">
      <c r="A5" s="49" t="s">
        <v>1703</v>
      </c>
      <c r="B5" s="50" t="s">
        <v>1704</v>
      </c>
      <c r="C5" s="49" t="s">
        <v>1695</v>
      </c>
      <c r="D5" s="49" t="s">
        <v>1705</v>
      </c>
      <c r="E5" s="49">
        <v>1</v>
      </c>
      <c r="F5" s="49" t="s">
        <v>1706</v>
      </c>
      <c r="G5" s="49">
        <v>2007</v>
      </c>
      <c r="H5" s="50" t="s">
        <v>1707</v>
      </c>
      <c r="I5" s="50" t="s">
        <v>1708</v>
      </c>
      <c r="J5" s="50" t="s">
        <v>1709</v>
      </c>
      <c r="K5" s="50" t="s">
        <v>1710</v>
      </c>
    </row>
    <row r="6" spans="1:11" ht="174">
      <c r="A6" s="49" t="s">
        <v>1711</v>
      </c>
      <c r="B6" s="50" t="s">
        <v>1712</v>
      </c>
      <c r="C6" s="49" t="s">
        <v>1695</v>
      </c>
      <c r="D6" s="49" t="s">
        <v>1462</v>
      </c>
      <c r="E6" s="49">
        <v>1</v>
      </c>
      <c r="F6" s="49" t="s">
        <v>1696</v>
      </c>
      <c r="G6" s="49">
        <v>1995</v>
      </c>
      <c r="H6" s="50" t="s">
        <v>1713</v>
      </c>
      <c r="I6" s="50" t="s">
        <v>1714</v>
      </c>
      <c r="J6" s="50" t="s">
        <v>1691</v>
      </c>
      <c r="K6" s="50" t="s">
        <v>1715</v>
      </c>
    </row>
    <row r="7" spans="1:11" ht="57.95">
      <c r="A7" s="49" t="s">
        <v>1716</v>
      </c>
      <c r="B7" s="50" t="s">
        <v>1717</v>
      </c>
      <c r="C7" s="49" t="s">
        <v>1695</v>
      </c>
      <c r="D7" s="49" t="s">
        <v>1411</v>
      </c>
      <c r="E7" s="49">
        <v>4</v>
      </c>
      <c r="F7" s="49" t="s">
        <v>1696</v>
      </c>
      <c r="G7" s="49">
        <v>2012</v>
      </c>
      <c r="H7" s="50" t="s">
        <v>1718</v>
      </c>
      <c r="I7" s="50" t="s">
        <v>1719</v>
      </c>
      <c r="J7" s="50" t="s">
        <v>1720</v>
      </c>
      <c r="K7" s="50" t="s">
        <v>1721</v>
      </c>
    </row>
    <row r="8" spans="1:11" ht="101.45">
      <c r="A8" s="49" t="s">
        <v>1722</v>
      </c>
      <c r="B8" s="50" t="s">
        <v>1723</v>
      </c>
      <c r="C8" s="49" t="s">
        <v>1695</v>
      </c>
      <c r="D8" s="49" t="s">
        <v>139</v>
      </c>
      <c r="E8" s="49">
        <v>1</v>
      </c>
      <c r="F8" s="49" t="s">
        <v>1724</v>
      </c>
      <c r="G8" s="49">
        <v>2013</v>
      </c>
      <c r="H8" s="50" t="s">
        <v>1725</v>
      </c>
      <c r="I8" s="50" t="s">
        <v>1726</v>
      </c>
      <c r="J8" s="50" t="s">
        <v>1691</v>
      </c>
      <c r="K8" s="50" t="s">
        <v>1691</v>
      </c>
    </row>
    <row r="9" spans="1:11" ht="159.6">
      <c r="A9" s="49" t="s">
        <v>1727</v>
      </c>
      <c r="B9" s="50" t="s">
        <v>1728</v>
      </c>
      <c r="C9" s="49" t="s">
        <v>108</v>
      </c>
      <c r="D9" s="49" t="s">
        <v>868</v>
      </c>
      <c r="E9" s="49">
        <v>3</v>
      </c>
      <c r="F9" s="49" t="s">
        <v>1724</v>
      </c>
      <c r="G9" s="49">
        <v>2007</v>
      </c>
      <c r="H9" s="50" t="s">
        <v>1729</v>
      </c>
      <c r="I9" s="50" t="s">
        <v>1730</v>
      </c>
      <c r="J9" s="50" t="s">
        <v>1731</v>
      </c>
      <c r="K9" s="50" t="s">
        <v>1691</v>
      </c>
    </row>
    <row r="10" spans="1:11" ht="72.599999999999994">
      <c r="A10" s="49" t="s">
        <v>1732</v>
      </c>
      <c r="B10" s="50" t="s">
        <v>1733</v>
      </c>
      <c r="C10" s="49" t="s">
        <v>80</v>
      </c>
      <c r="D10" s="49" t="s">
        <v>685</v>
      </c>
      <c r="E10" s="49">
        <v>2</v>
      </c>
      <c r="F10" s="49" t="s">
        <v>1724</v>
      </c>
      <c r="G10" s="49">
        <v>2008</v>
      </c>
      <c r="H10" s="50" t="s">
        <v>1734</v>
      </c>
      <c r="I10" s="50" t="s">
        <v>1735</v>
      </c>
      <c r="J10" s="50" t="s">
        <v>1736</v>
      </c>
      <c r="K10" s="50"/>
    </row>
    <row r="11" spans="1:11" ht="87">
      <c r="A11" s="49" t="s">
        <v>1737</v>
      </c>
      <c r="B11" s="50" t="s">
        <v>1738</v>
      </c>
      <c r="C11" s="49" t="s">
        <v>98</v>
      </c>
      <c r="D11" s="49" t="s">
        <v>163</v>
      </c>
      <c r="E11" s="49">
        <v>2</v>
      </c>
      <c r="F11" s="49" t="s">
        <v>1696</v>
      </c>
      <c r="G11" s="49">
        <v>2009</v>
      </c>
      <c r="H11" s="50" t="s">
        <v>1739</v>
      </c>
      <c r="I11" s="50" t="s">
        <v>1691</v>
      </c>
      <c r="J11" s="50" t="s">
        <v>1691</v>
      </c>
      <c r="K11" s="50" t="s">
        <v>1691</v>
      </c>
    </row>
    <row r="12" spans="1:11" ht="57.95">
      <c r="A12" s="49" t="s">
        <v>1740</v>
      </c>
      <c r="B12" s="50" t="s">
        <v>1741</v>
      </c>
      <c r="C12" s="49" t="s">
        <v>1695</v>
      </c>
      <c r="D12" s="49" t="s">
        <v>1616</v>
      </c>
      <c r="E12" s="49">
        <v>1</v>
      </c>
      <c r="F12" s="49" t="s">
        <v>1724</v>
      </c>
      <c r="G12" s="49">
        <v>2007</v>
      </c>
      <c r="H12" s="50" t="s">
        <v>1742</v>
      </c>
      <c r="I12" s="50" t="s">
        <v>1743</v>
      </c>
      <c r="J12" s="50" t="s">
        <v>1744</v>
      </c>
      <c r="K12" s="50" t="s">
        <v>1745</v>
      </c>
    </row>
    <row r="13" spans="1:11" ht="57.95">
      <c r="A13" s="49" t="s">
        <v>1746</v>
      </c>
      <c r="B13" s="50" t="s">
        <v>1747</v>
      </c>
      <c r="C13" s="49" t="s">
        <v>1695</v>
      </c>
      <c r="D13" s="49" t="s">
        <v>501</v>
      </c>
      <c r="E13" s="49">
        <v>1</v>
      </c>
      <c r="F13" s="49" t="s">
        <v>1748</v>
      </c>
      <c r="G13" s="49">
        <v>1993</v>
      </c>
      <c r="H13" s="50" t="s">
        <v>1749</v>
      </c>
      <c r="I13" s="50" t="s">
        <v>1691</v>
      </c>
      <c r="J13" s="50" t="s">
        <v>1691</v>
      </c>
      <c r="K13" s="50" t="s">
        <v>1691</v>
      </c>
    </row>
    <row r="14" spans="1:11" ht="43.5">
      <c r="A14" s="49" t="s">
        <v>1750</v>
      </c>
      <c r="B14" s="50" t="s">
        <v>1751</v>
      </c>
      <c r="C14" s="49" t="s">
        <v>1695</v>
      </c>
      <c r="D14" s="49" t="s">
        <v>197</v>
      </c>
      <c r="E14" s="49">
        <v>1</v>
      </c>
      <c r="F14" s="49" t="s">
        <v>1752</v>
      </c>
      <c r="G14" s="49">
        <v>2003</v>
      </c>
      <c r="H14" s="50" t="s">
        <v>1753</v>
      </c>
      <c r="I14" s="50" t="s">
        <v>1754</v>
      </c>
      <c r="J14" s="50" t="s">
        <v>1755</v>
      </c>
      <c r="K14" s="50" t="s">
        <v>1756</v>
      </c>
    </row>
    <row r="15" spans="1:11" ht="72.599999999999994">
      <c r="A15" s="49" t="s">
        <v>1757</v>
      </c>
      <c r="B15" s="50" t="s">
        <v>1758</v>
      </c>
      <c r="C15" s="49" t="s">
        <v>80</v>
      </c>
      <c r="D15" s="49" t="s">
        <v>227</v>
      </c>
      <c r="E15" s="49">
        <v>1</v>
      </c>
      <c r="F15" s="49" t="s">
        <v>1724</v>
      </c>
      <c r="G15" s="49">
        <v>2005</v>
      </c>
      <c r="H15" s="50" t="s">
        <v>1759</v>
      </c>
      <c r="I15" s="50" t="s">
        <v>1691</v>
      </c>
      <c r="J15" s="50" t="s">
        <v>1691</v>
      </c>
      <c r="K15" s="50" t="s">
        <v>1691</v>
      </c>
    </row>
    <row r="16" spans="1:11" ht="116.1">
      <c r="A16" s="49" t="s">
        <v>1760</v>
      </c>
      <c r="B16" s="50" t="s">
        <v>1761</v>
      </c>
      <c r="C16" s="49" t="s">
        <v>1695</v>
      </c>
      <c r="D16" s="49" t="s">
        <v>147</v>
      </c>
      <c r="E16" s="49">
        <v>1</v>
      </c>
      <c r="F16" s="49" t="s">
        <v>1762</v>
      </c>
      <c r="G16" s="49">
        <v>2009</v>
      </c>
      <c r="H16" s="50" t="s">
        <v>1763</v>
      </c>
      <c r="I16" s="50" t="s">
        <v>1764</v>
      </c>
      <c r="J16" s="50" t="s">
        <v>1765</v>
      </c>
      <c r="K16" s="50" t="s">
        <v>1691</v>
      </c>
    </row>
    <row r="17" spans="1:11" ht="188.45">
      <c r="A17" s="49" t="s">
        <v>1766</v>
      </c>
      <c r="B17" s="50" t="s">
        <v>1767</v>
      </c>
      <c r="C17" s="49" t="s">
        <v>98</v>
      </c>
      <c r="D17" s="49" t="s">
        <v>163</v>
      </c>
      <c r="E17" s="49">
        <v>1</v>
      </c>
      <c r="F17" s="49" t="s">
        <v>1724</v>
      </c>
      <c r="G17" s="49">
        <v>2007</v>
      </c>
      <c r="H17" s="50" t="s">
        <v>1768</v>
      </c>
      <c r="I17" s="50" t="s">
        <v>1769</v>
      </c>
      <c r="J17" s="50" t="s">
        <v>1770</v>
      </c>
      <c r="K17" s="50" t="s">
        <v>1691</v>
      </c>
    </row>
    <row r="18" spans="1:11" ht="57.95">
      <c r="A18" s="49" t="s">
        <v>1771</v>
      </c>
      <c r="B18" s="50" t="s">
        <v>1772</v>
      </c>
      <c r="C18" s="49" t="s">
        <v>1695</v>
      </c>
      <c r="D18" s="49" t="s">
        <v>207</v>
      </c>
      <c r="E18" s="49">
        <v>2</v>
      </c>
      <c r="F18" s="49" t="s">
        <v>1724</v>
      </c>
      <c r="G18" s="49">
        <v>1984</v>
      </c>
      <c r="H18" s="50" t="s">
        <v>1773</v>
      </c>
      <c r="I18" s="50" t="s">
        <v>1774</v>
      </c>
      <c r="J18" s="50" t="s">
        <v>1691</v>
      </c>
      <c r="K18" s="50" t="s">
        <v>1691</v>
      </c>
    </row>
    <row r="19" spans="1:11" ht="87">
      <c r="A19" s="49" t="s">
        <v>1775</v>
      </c>
      <c r="B19" s="50" t="s">
        <v>1776</v>
      </c>
      <c r="C19" s="49" t="s">
        <v>1695</v>
      </c>
      <c r="D19" s="49" t="s">
        <v>147</v>
      </c>
      <c r="E19" s="49">
        <v>1</v>
      </c>
      <c r="F19" s="49" t="s">
        <v>1696</v>
      </c>
      <c r="G19" s="49">
        <v>2005</v>
      </c>
      <c r="H19" s="50" t="s">
        <v>1777</v>
      </c>
      <c r="I19" s="50" t="s">
        <v>1778</v>
      </c>
      <c r="J19" s="50" t="s">
        <v>1779</v>
      </c>
      <c r="K19" s="50" t="s">
        <v>1780</v>
      </c>
    </row>
    <row r="20" spans="1:11" ht="57.95">
      <c r="A20" s="49" t="s">
        <v>1781</v>
      </c>
      <c r="B20" s="50" t="s">
        <v>1782</v>
      </c>
      <c r="C20" s="49" t="s">
        <v>1695</v>
      </c>
      <c r="D20" s="49" t="s">
        <v>426</v>
      </c>
      <c r="E20" s="49">
        <v>1</v>
      </c>
      <c r="F20" s="49" t="s">
        <v>1696</v>
      </c>
      <c r="G20" s="49">
        <v>2005</v>
      </c>
      <c r="H20" s="50" t="s">
        <v>1783</v>
      </c>
      <c r="I20" s="50" t="s">
        <v>1784</v>
      </c>
      <c r="J20" s="50" t="s">
        <v>1691</v>
      </c>
      <c r="K20" s="50" t="s">
        <v>1691</v>
      </c>
    </row>
    <row r="21" spans="1:11" ht="72.599999999999994">
      <c r="A21" s="49" t="s">
        <v>1785</v>
      </c>
      <c r="B21" s="50" t="s">
        <v>1786</v>
      </c>
      <c r="C21" s="49" t="s">
        <v>1695</v>
      </c>
      <c r="D21" s="49" t="s">
        <v>1787</v>
      </c>
      <c r="E21" s="49">
        <v>1</v>
      </c>
      <c r="F21" s="49" t="s">
        <v>1690</v>
      </c>
      <c r="G21" s="49">
        <v>2008</v>
      </c>
      <c r="H21" s="50" t="s">
        <v>1788</v>
      </c>
      <c r="I21" s="50" t="s">
        <v>1691</v>
      </c>
      <c r="J21" s="50" t="s">
        <v>1691</v>
      </c>
      <c r="K21" s="50" t="s">
        <v>1691</v>
      </c>
    </row>
    <row r="22" spans="1:11" ht="116.1">
      <c r="A22" s="49" t="s">
        <v>1789</v>
      </c>
      <c r="B22" s="50" t="s">
        <v>1790</v>
      </c>
      <c r="C22" s="49" t="s">
        <v>1695</v>
      </c>
      <c r="D22" s="49" t="s">
        <v>1791</v>
      </c>
      <c r="E22" s="49">
        <v>1</v>
      </c>
      <c r="F22" s="49" t="s">
        <v>1696</v>
      </c>
      <c r="G22" s="49">
        <v>2010</v>
      </c>
      <c r="H22" s="50" t="s">
        <v>1792</v>
      </c>
      <c r="I22" s="50" t="s">
        <v>1691</v>
      </c>
      <c r="J22" s="50" t="s">
        <v>1691</v>
      </c>
      <c r="K22" s="50" t="s">
        <v>1793</v>
      </c>
    </row>
    <row r="23" spans="1:11" ht="72.599999999999994">
      <c r="A23" s="49" t="s">
        <v>1794</v>
      </c>
      <c r="B23" s="50" t="s">
        <v>1795</v>
      </c>
      <c r="C23" s="49" t="s">
        <v>80</v>
      </c>
      <c r="D23" s="49" t="s">
        <v>1416</v>
      </c>
      <c r="E23" s="49">
        <v>1</v>
      </c>
      <c r="F23" s="49" t="s">
        <v>1696</v>
      </c>
      <c r="G23" s="49">
        <v>2003</v>
      </c>
      <c r="H23" s="50" t="s">
        <v>1796</v>
      </c>
      <c r="I23" s="50" t="s">
        <v>1691</v>
      </c>
      <c r="J23" s="50" t="s">
        <v>1797</v>
      </c>
      <c r="K23" s="50" t="s">
        <v>1691</v>
      </c>
    </row>
    <row r="24" spans="1:11" ht="72.599999999999994">
      <c r="A24" s="49" t="s">
        <v>1798</v>
      </c>
      <c r="B24" s="50" t="s">
        <v>1799</v>
      </c>
      <c r="C24" s="49" t="s">
        <v>1695</v>
      </c>
      <c r="D24" s="49" t="s">
        <v>1787</v>
      </c>
      <c r="E24" s="49">
        <v>1</v>
      </c>
      <c r="F24" s="49" t="s">
        <v>1690</v>
      </c>
      <c r="G24" s="49">
        <v>2000</v>
      </c>
      <c r="H24" s="50" t="s">
        <v>1800</v>
      </c>
      <c r="I24" s="50" t="s">
        <v>1691</v>
      </c>
      <c r="J24" s="50" t="s">
        <v>1691</v>
      </c>
      <c r="K24" s="50" t="s">
        <v>1691</v>
      </c>
    </row>
    <row r="25" spans="1:11" ht="174">
      <c r="A25" s="49" t="s">
        <v>1801</v>
      </c>
      <c r="B25" s="50" t="s">
        <v>1802</v>
      </c>
      <c r="C25" s="49" t="s">
        <v>98</v>
      </c>
      <c r="D25" s="49" t="s">
        <v>163</v>
      </c>
      <c r="E25" s="49">
        <v>1</v>
      </c>
      <c r="F25" s="49" t="s">
        <v>1690</v>
      </c>
      <c r="G25" s="49">
        <v>2006</v>
      </c>
      <c r="H25" s="50" t="s">
        <v>1803</v>
      </c>
      <c r="I25" s="50" t="s">
        <v>1691</v>
      </c>
      <c r="J25" s="50" t="s">
        <v>1691</v>
      </c>
      <c r="K25" s="50" t="s">
        <v>1691</v>
      </c>
    </row>
    <row r="26" spans="1:11" ht="57.95">
      <c r="A26" s="49" t="s">
        <v>1804</v>
      </c>
      <c r="B26" s="50" t="s">
        <v>1805</v>
      </c>
      <c r="C26" s="49" t="s">
        <v>1695</v>
      </c>
      <c r="D26" s="49" t="s">
        <v>1142</v>
      </c>
      <c r="E26" s="49">
        <v>1</v>
      </c>
      <c r="F26" s="49" t="s">
        <v>1724</v>
      </c>
      <c r="G26" s="49">
        <v>2009</v>
      </c>
      <c r="H26" s="50" t="s">
        <v>1806</v>
      </c>
      <c r="I26" s="50" t="s">
        <v>1807</v>
      </c>
      <c r="J26" s="50" t="s">
        <v>1691</v>
      </c>
      <c r="K26" s="50" t="s">
        <v>1691</v>
      </c>
    </row>
    <row r="27" spans="1:11" ht="29.1">
      <c r="A27" s="49" t="s">
        <v>1808</v>
      </c>
      <c r="B27" s="50" t="s">
        <v>1809</v>
      </c>
      <c r="C27" s="49" t="s">
        <v>1695</v>
      </c>
      <c r="D27" s="49" t="s">
        <v>1810</v>
      </c>
      <c r="E27" s="49">
        <v>1</v>
      </c>
      <c r="F27" s="49" t="s">
        <v>1690</v>
      </c>
      <c r="G27" s="49">
        <v>2010</v>
      </c>
      <c r="H27" s="50" t="s">
        <v>1691</v>
      </c>
      <c r="I27" s="50" t="s">
        <v>1691</v>
      </c>
      <c r="J27" s="50" t="s">
        <v>1691</v>
      </c>
      <c r="K27" s="50" t="s">
        <v>1691</v>
      </c>
    </row>
    <row r="28" spans="1:11" ht="57.95">
      <c r="A28" s="49" t="s">
        <v>1811</v>
      </c>
      <c r="B28" s="50" t="s">
        <v>1812</v>
      </c>
      <c r="C28" s="49" t="s">
        <v>1695</v>
      </c>
      <c r="D28" s="49" t="s">
        <v>376</v>
      </c>
      <c r="E28" s="49">
        <v>1</v>
      </c>
      <c r="F28" s="49" t="s">
        <v>1813</v>
      </c>
      <c r="G28" s="49">
        <v>2013</v>
      </c>
      <c r="H28" s="50" t="s">
        <v>1814</v>
      </c>
      <c r="I28" s="50" t="s">
        <v>1691</v>
      </c>
      <c r="J28" s="50" t="s">
        <v>1691</v>
      </c>
      <c r="K28" s="50" t="s">
        <v>1815</v>
      </c>
    </row>
    <row r="29" spans="1:11" ht="188.45">
      <c r="A29" s="49" t="s">
        <v>1816</v>
      </c>
      <c r="B29" s="50" t="s">
        <v>1817</v>
      </c>
      <c r="C29" s="49" t="s">
        <v>1695</v>
      </c>
      <c r="D29" s="49" t="s">
        <v>139</v>
      </c>
      <c r="E29" s="49">
        <v>2</v>
      </c>
      <c r="F29" s="49" t="s">
        <v>1696</v>
      </c>
      <c r="G29" s="49">
        <v>2018</v>
      </c>
      <c r="H29" s="50" t="s">
        <v>1818</v>
      </c>
      <c r="I29" s="50" t="s">
        <v>1691</v>
      </c>
      <c r="J29" s="50" t="s">
        <v>1819</v>
      </c>
      <c r="K29" s="50" t="s">
        <v>1691</v>
      </c>
    </row>
    <row r="30" spans="1:11" ht="57.95">
      <c r="A30" s="49" t="s">
        <v>1820</v>
      </c>
      <c r="B30" s="50" t="s">
        <v>1821</v>
      </c>
      <c r="C30" s="49" t="s">
        <v>1695</v>
      </c>
      <c r="D30" s="49" t="s">
        <v>217</v>
      </c>
      <c r="E30" s="49">
        <v>1</v>
      </c>
      <c r="F30" s="49" t="s">
        <v>1696</v>
      </c>
      <c r="G30" s="49">
        <v>2024</v>
      </c>
      <c r="H30" s="50" t="s">
        <v>1822</v>
      </c>
      <c r="I30" s="50" t="s">
        <v>1823</v>
      </c>
      <c r="J30" s="50" t="s">
        <v>1824</v>
      </c>
      <c r="K30" s="50" t="s">
        <v>1691</v>
      </c>
    </row>
    <row r="31" spans="1:11" ht="72.599999999999994">
      <c r="A31" s="49" t="s">
        <v>1825</v>
      </c>
      <c r="B31" s="50" t="s">
        <v>1826</v>
      </c>
      <c r="C31" s="49" t="s">
        <v>1695</v>
      </c>
      <c r="D31" s="49" t="s">
        <v>147</v>
      </c>
      <c r="E31" s="49">
        <v>1</v>
      </c>
      <c r="F31" s="49" t="s">
        <v>1724</v>
      </c>
      <c r="G31" s="49">
        <v>2018</v>
      </c>
      <c r="H31" s="50" t="s">
        <v>1827</v>
      </c>
      <c r="I31" s="50" t="s">
        <v>1828</v>
      </c>
      <c r="J31" s="50" t="s">
        <v>1691</v>
      </c>
      <c r="K31" s="50" t="s">
        <v>1829</v>
      </c>
    </row>
    <row r="32" spans="1:11" ht="130.5">
      <c r="A32" s="49" t="s">
        <v>1830</v>
      </c>
      <c r="B32" s="50" t="s">
        <v>1831</v>
      </c>
      <c r="C32" s="49" t="s">
        <v>104</v>
      </c>
      <c r="D32" s="49" t="s">
        <v>167</v>
      </c>
      <c r="E32" s="49">
        <v>2</v>
      </c>
      <c r="F32" s="49" t="s">
        <v>1813</v>
      </c>
      <c r="G32" s="49">
        <v>1996</v>
      </c>
      <c r="H32" s="50" t="s">
        <v>1832</v>
      </c>
      <c r="I32" s="50" t="s">
        <v>1833</v>
      </c>
      <c r="J32" s="50" t="s">
        <v>1834</v>
      </c>
      <c r="K32" s="50" t="s">
        <v>1835</v>
      </c>
    </row>
    <row r="33" spans="1:11" ht="101.45">
      <c r="A33" s="49" t="s">
        <v>1836</v>
      </c>
      <c r="B33" s="50" t="s">
        <v>1837</v>
      </c>
      <c r="C33" s="49" t="s">
        <v>1695</v>
      </c>
      <c r="D33" s="49" t="s">
        <v>1787</v>
      </c>
      <c r="E33" s="49">
        <v>1</v>
      </c>
      <c r="F33" s="49" t="s">
        <v>1696</v>
      </c>
      <c r="G33" s="49">
        <v>1993</v>
      </c>
      <c r="H33" s="50" t="s">
        <v>1838</v>
      </c>
      <c r="I33" s="50" t="s">
        <v>1839</v>
      </c>
      <c r="J33" s="50" t="s">
        <v>1840</v>
      </c>
      <c r="K33" s="50" t="s">
        <v>1691</v>
      </c>
    </row>
    <row r="34" spans="1:11" ht="57.95">
      <c r="A34" s="49" t="s">
        <v>1841</v>
      </c>
      <c r="B34" s="50" t="s">
        <v>1842</v>
      </c>
      <c r="C34" s="49" t="s">
        <v>1695</v>
      </c>
      <c r="D34" s="49" t="s">
        <v>1787</v>
      </c>
      <c r="E34" s="49">
        <v>1</v>
      </c>
      <c r="F34" s="49" t="s">
        <v>1696</v>
      </c>
      <c r="G34" s="49">
        <v>2012</v>
      </c>
      <c r="H34" s="50" t="s">
        <v>1843</v>
      </c>
      <c r="I34" s="50" t="s">
        <v>1844</v>
      </c>
      <c r="J34" s="50" t="s">
        <v>1845</v>
      </c>
      <c r="K34" s="50" t="s">
        <v>1691</v>
      </c>
    </row>
    <row r="35" spans="1:11" ht="87">
      <c r="A35" s="49" t="s">
        <v>1846</v>
      </c>
      <c r="B35" s="50" t="s">
        <v>1847</v>
      </c>
      <c r="C35" s="49" t="s">
        <v>1695</v>
      </c>
      <c r="D35" s="49" t="s">
        <v>501</v>
      </c>
      <c r="E35" s="49">
        <v>1</v>
      </c>
      <c r="F35" s="49" t="s">
        <v>1696</v>
      </c>
      <c r="G35" s="49">
        <v>2012</v>
      </c>
      <c r="H35" s="50" t="s">
        <v>1848</v>
      </c>
      <c r="I35" s="50" t="s">
        <v>1691</v>
      </c>
      <c r="J35" s="50" t="s">
        <v>1691</v>
      </c>
      <c r="K35" s="50" t="s">
        <v>1691</v>
      </c>
    </row>
    <row r="36" spans="1:11" ht="43.5">
      <c r="A36" s="49" t="s">
        <v>1849</v>
      </c>
      <c r="B36" s="50" t="s">
        <v>1850</v>
      </c>
      <c r="C36" s="49" t="s">
        <v>1695</v>
      </c>
      <c r="D36" s="49" t="s">
        <v>147</v>
      </c>
      <c r="E36" s="49">
        <v>1</v>
      </c>
      <c r="F36" s="49" t="s">
        <v>1696</v>
      </c>
      <c r="G36" s="49">
        <v>2002</v>
      </c>
      <c r="H36" s="50" t="s">
        <v>1851</v>
      </c>
      <c r="I36" s="50" t="s">
        <v>1691</v>
      </c>
      <c r="J36" s="50" t="s">
        <v>1691</v>
      </c>
      <c r="K36" s="50" t="s">
        <v>1691</v>
      </c>
    </row>
    <row r="37" spans="1:11" ht="159.6">
      <c r="A37" s="49" t="s">
        <v>1852</v>
      </c>
      <c r="B37" s="50" t="s">
        <v>1853</v>
      </c>
      <c r="C37" s="49" t="s">
        <v>1695</v>
      </c>
      <c r="D37" s="49" t="s">
        <v>287</v>
      </c>
      <c r="E37" s="49">
        <v>1</v>
      </c>
      <c r="F37" s="49" t="s">
        <v>1696</v>
      </c>
      <c r="G37" s="49">
        <v>2017</v>
      </c>
      <c r="H37" s="50" t="s">
        <v>1854</v>
      </c>
      <c r="I37" s="50" t="s">
        <v>1691</v>
      </c>
      <c r="J37" s="50" t="s">
        <v>1855</v>
      </c>
      <c r="K37" s="50" t="s">
        <v>1856</v>
      </c>
    </row>
    <row r="38" spans="1:11" ht="203.1">
      <c r="A38" s="49" t="s">
        <v>1857</v>
      </c>
      <c r="B38" s="50" t="s">
        <v>1858</v>
      </c>
      <c r="C38" s="49" t="s">
        <v>1695</v>
      </c>
      <c r="D38" s="49" t="s">
        <v>1705</v>
      </c>
      <c r="E38" s="49">
        <v>3</v>
      </c>
      <c r="F38" s="49" t="s">
        <v>1696</v>
      </c>
      <c r="G38" s="49">
        <v>2001</v>
      </c>
      <c r="H38" s="50" t="s">
        <v>1859</v>
      </c>
      <c r="I38" s="50" t="s">
        <v>1691</v>
      </c>
      <c r="J38" s="50" t="s">
        <v>1860</v>
      </c>
      <c r="K38" s="51" t="s">
        <v>1691</v>
      </c>
    </row>
    <row r="39" spans="1:11" ht="87">
      <c r="A39" s="49" t="s">
        <v>1861</v>
      </c>
      <c r="B39" s="50" t="s">
        <v>1862</v>
      </c>
      <c r="C39" s="49" t="s">
        <v>1695</v>
      </c>
      <c r="D39" s="49" t="s">
        <v>426</v>
      </c>
      <c r="E39" s="49">
        <v>7</v>
      </c>
      <c r="F39" s="49" t="s">
        <v>1863</v>
      </c>
      <c r="G39" s="49">
        <v>2020</v>
      </c>
      <c r="H39" s="50" t="s">
        <v>1864</v>
      </c>
      <c r="I39" s="50" t="s">
        <v>1691</v>
      </c>
      <c r="J39" s="50" t="s">
        <v>1691</v>
      </c>
      <c r="K39" s="50" t="s">
        <v>1865</v>
      </c>
    </row>
    <row r="40" spans="1:11" ht="188.45">
      <c r="A40" s="49" t="s">
        <v>1866</v>
      </c>
      <c r="B40" s="50" t="s">
        <v>1867</v>
      </c>
      <c r="C40" s="49" t="s">
        <v>1695</v>
      </c>
      <c r="D40" s="49" t="s">
        <v>800</v>
      </c>
      <c r="E40" s="49">
        <v>3</v>
      </c>
      <c r="F40" s="49" t="s">
        <v>1696</v>
      </c>
      <c r="G40" s="49">
        <v>1992</v>
      </c>
      <c r="H40" s="50" t="s">
        <v>1868</v>
      </c>
      <c r="I40" s="50" t="s">
        <v>1691</v>
      </c>
      <c r="J40" s="50" t="s">
        <v>1691</v>
      </c>
      <c r="K40" s="50" t="s">
        <v>1691</v>
      </c>
    </row>
    <row r="41" spans="1:11" ht="87">
      <c r="A41" s="49" t="s">
        <v>1869</v>
      </c>
      <c r="B41" s="50" t="s">
        <v>1870</v>
      </c>
      <c r="C41" s="49" t="s">
        <v>1695</v>
      </c>
      <c r="D41" s="49" t="s">
        <v>834</v>
      </c>
      <c r="E41" s="49">
        <v>2</v>
      </c>
      <c r="F41" s="49" t="s">
        <v>1696</v>
      </c>
      <c r="G41" s="49">
        <v>2017</v>
      </c>
      <c r="H41" s="50" t="s">
        <v>1871</v>
      </c>
      <c r="I41" s="50" t="s">
        <v>1691</v>
      </c>
      <c r="J41" s="50" t="s">
        <v>1872</v>
      </c>
      <c r="K41" s="50" t="s">
        <v>1691</v>
      </c>
    </row>
    <row r="42" spans="1:11" ht="72.599999999999994">
      <c r="A42" s="49" t="s">
        <v>1873</v>
      </c>
      <c r="B42" s="50" t="s">
        <v>1874</v>
      </c>
      <c r="C42" s="49" t="s">
        <v>1695</v>
      </c>
      <c r="D42" s="49" t="s">
        <v>457</v>
      </c>
      <c r="E42" s="49">
        <v>1</v>
      </c>
      <c r="F42" s="49" t="s">
        <v>1696</v>
      </c>
      <c r="G42" s="49">
        <v>1989</v>
      </c>
      <c r="H42" s="50" t="s">
        <v>1875</v>
      </c>
      <c r="I42" s="50" t="s">
        <v>1876</v>
      </c>
      <c r="J42" s="50" t="s">
        <v>1691</v>
      </c>
      <c r="K42" s="50" t="s">
        <v>1691</v>
      </c>
    </row>
    <row r="43" spans="1:11" ht="130.5">
      <c r="A43" s="49" t="s">
        <v>1877</v>
      </c>
      <c r="B43" s="50" t="s">
        <v>1878</v>
      </c>
      <c r="C43" s="49" t="s">
        <v>1695</v>
      </c>
      <c r="D43" s="49" t="s">
        <v>287</v>
      </c>
      <c r="E43" s="49">
        <v>1</v>
      </c>
      <c r="F43" s="49" t="s">
        <v>1696</v>
      </c>
      <c r="G43" s="49">
        <v>2012</v>
      </c>
      <c r="H43" s="50" t="s">
        <v>1879</v>
      </c>
      <c r="I43" s="50" t="s">
        <v>1880</v>
      </c>
      <c r="J43" s="50" t="s">
        <v>1881</v>
      </c>
      <c r="K43" s="50" t="s">
        <v>1691</v>
      </c>
    </row>
    <row r="44" spans="1:11" ht="116.1">
      <c r="A44" s="49" t="s">
        <v>1882</v>
      </c>
      <c r="B44" s="50" t="s">
        <v>1883</v>
      </c>
      <c r="C44" s="49" t="s">
        <v>104</v>
      </c>
      <c r="D44" s="49" t="s">
        <v>1884</v>
      </c>
      <c r="E44" s="49">
        <v>2</v>
      </c>
      <c r="F44" s="49" t="s">
        <v>1813</v>
      </c>
      <c r="G44" s="49">
        <v>1993</v>
      </c>
      <c r="H44" s="50" t="s">
        <v>1885</v>
      </c>
      <c r="I44" s="50" t="s">
        <v>1886</v>
      </c>
      <c r="J44" s="50" t="s">
        <v>1691</v>
      </c>
      <c r="K44" s="50" t="s">
        <v>1887</v>
      </c>
    </row>
    <row r="45" spans="1:11" ht="217.5">
      <c r="A45" s="49" t="s">
        <v>1888</v>
      </c>
      <c r="B45" s="50" t="s">
        <v>1889</v>
      </c>
      <c r="C45" s="49" t="s">
        <v>104</v>
      </c>
      <c r="D45" s="49" t="s">
        <v>542</v>
      </c>
      <c r="E45" s="49">
        <v>1</v>
      </c>
      <c r="F45" s="49" t="s">
        <v>1724</v>
      </c>
      <c r="G45" s="49">
        <v>2022</v>
      </c>
      <c r="H45" s="50" t="s">
        <v>1890</v>
      </c>
      <c r="I45" s="50" t="s">
        <v>1691</v>
      </c>
      <c r="J45" s="50" t="s">
        <v>1891</v>
      </c>
      <c r="K45" s="50" t="s">
        <v>1691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'Tabelas de Apoio'!$G$2:$G$20</xm:f>
          </x14:formula1>
          <xm:sqref>C2:C201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3"/>
  <sheetViews>
    <sheetView topLeftCell="C1" workbookViewId="0">
      <pane ySplit="1" topLeftCell="A2" activePane="bottomLeft" state="frozen"/>
      <selection pane="bottomLeft" activeCell="F165" sqref="F165"/>
    </sheetView>
  </sheetViews>
  <sheetFormatPr defaultRowHeight="14.45"/>
  <cols>
    <col min="1" max="1" width="12.7109375" customWidth="1"/>
    <col min="2" max="2" width="17" bestFit="1" customWidth="1"/>
    <col min="3" max="3" width="61.140625" bestFit="1" customWidth="1"/>
    <col min="4" max="4" width="25" customWidth="1"/>
    <col min="5" max="5" width="56.28515625" bestFit="1" customWidth="1"/>
    <col min="6" max="6" width="74.85546875" bestFit="1" customWidth="1"/>
    <col min="7" max="7" width="20" customWidth="1"/>
    <col min="8" max="8" width="19.42578125" customWidth="1"/>
    <col min="9" max="9" width="10.7109375" bestFit="1" customWidth="1"/>
  </cols>
  <sheetData>
    <row r="1" spans="1:9" ht="29.1">
      <c r="A1" s="4" t="s">
        <v>1892</v>
      </c>
      <c r="B1" s="4" t="s">
        <v>1893</v>
      </c>
      <c r="C1" s="4" t="s">
        <v>44</v>
      </c>
      <c r="D1" s="4" t="s">
        <v>1894</v>
      </c>
      <c r="E1" s="4" t="s">
        <v>1895</v>
      </c>
      <c r="F1" s="4" t="s">
        <v>1896</v>
      </c>
      <c r="G1" s="4" t="s">
        <v>1897</v>
      </c>
      <c r="H1" s="4" t="s">
        <v>1898</v>
      </c>
      <c r="I1" s="4" t="s">
        <v>1899</v>
      </c>
    </row>
    <row r="2" spans="1:9">
      <c r="A2" s="5">
        <v>45174</v>
      </c>
      <c r="B2" s="15">
        <v>45201</v>
      </c>
      <c r="C2" t="s">
        <v>262</v>
      </c>
      <c r="D2" t="s">
        <v>79</v>
      </c>
      <c r="E2" t="s">
        <v>114</v>
      </c>
      <c r="F2" t="s">
        <v>1900</v>
      </c>
      <c r="G2" s="20">
        <v>1247.9000000000001</v>
      </c>
      <c r="H2" s="17">
        <v>1040</v>
      </c>
      <c r="I2" s="18">
        <v>2381</v>
      </c>
    </row>
    <row r="3" spans="1:9">
      <c r="A3" s="5">
        <v>45174</v>
      </c>
      <c r="B3" s="16">
        <v>45201</v>
      </c>
      <c r="C3" t="s">
        <v>183</v>
      </c>
      <c r="D3" t="s">
        <v>79</v>
      </c>
      <c r="E3" t="s">
        <v>114</v>
      </c>
      <c r="F3" t="s">
        <v>1901</v>
      </c>
      <c r="G3" s="20">
        <v>13042.73</v>
      </c>
      <c r="H3" s="17">
        <v>1041</v>
      </c>
      <c r="I3" s="18" t="s">
        <v>1902</v>
      </c>
    </row>
    <row r="4" spans="1:9">
      <c r="A4" s="5">
        <v>45201</v>
      </c>
      <c r="B4" s="16">
        <v>45208</v>
      </c>
      <c r="C4" t="s">
        <v>417</v>
      </c>
      <c r="D4" t="s">
        <v>79</v>
      </c>
      <c r="E4" t="s">
        <v>114</v>
      </c>
      <c r="F4" t="s">
        <v>1903</v>
      </c>
      <c r="G4" s="20">
        <v>2885</v>
      </c>
      <c r="H4" s="17">
        <v>1047</v>
      </c>
      <c r="I4" s="18">
        <v>2385</v>
      </c>
    </row>
    <row r="5" spans="1:9">
      <c r="A5" s="5">
        <v>44820</v>
      </c>
      <c r="B5" s="16">
        <v>45223</v>
      </c>
      <c r="C5" t="s">
        <v>1434</v>
      </c>
      <c r="D5" t="s">
        <v>71</v>
      </c>
      <c r="E5" t="s">
        <v>78</v>
      </c>
      <c r="F5" t="s">
        <v>1904</v>
      </c>
      <c r="G5" s="20">
        <v>1530000</v>
      </c>
      <c r="H5" s="17">
        <v>996</v>
      </c>
      <c r="I5" s="18" t="s">
        <v>1905</v>
      </c>
    </row>
    <row r="6" spans="1:9">
      <c r="A6" s="5">
        <v>45093</v>
      </c>
      <c r="B6" s="16">
        <v>45223</v>
      </c>
      <c r="C6" t="s">
        <v>1442</v>
      </c>
      <c r="D6" t="s">
        <v>79</v>
      </c>
      <c r="E6" t="s">
        <v>114</v>
      </c>
      <c r="F6" t="s">
        <v>1906</v>
      </c>
      <c r="G6" s="20">
        <v>5628.86</v>
      </c>
      <c r="H6" s="17">
        <v>1042</v>
      </c>
      <c r="I6" s="18" t="s">
        <v>1907</v>
      </c>
    </row>
    <row r="7" spans="1:9">
      <c r="A7" s="5">
        <v>45174</v>
      </c>
      <c r="B7" s="16">
        <v>45223</v>
      </c>
      <c r="C7" t="s">
        <v>1442</v>
      </c>
      <c r="D7" t="s">
        <v>79</v>
      </c>
      <c r="E7" t="s">
        <v>117</v>
      </c>
      <c r="F7" t="s">
        <v>1908</v>
      </c>
      <c r="G7" s="20">
        <v>7832.71</v>
      </c>
      <c r="H7" s="17">
        <v>1043</v>
      </c>
      <c r="I7" s="18" t="s">
        <v>1909</v>
      </c>
    </row>
    <row r="8" spans="1:9">
      <c r="A8" s="5">
        <v>45222</v>
      </c>
      <c r="B8" s="16">
        <v>45231</v>
      </c>
      <c r="C8" t="s">
        <v>436</v>
      </c>
      <c r="D8" t="s">
        <v>79</v>
      </c>
      <c r="E8" t="s">
        <v>117</v>
      </c>
      <c r="F8" t="s">
        <v>1910</v>
      </c>
      <c r="G8" s="20">
        <v>12378.2</v>
      </c>
      <c r="H8" s="17" t="s">
        <v>1911</v>
      </c>
      <c r="I8" s="18">
        <v>2399</v>
      </c>
    </row>
    <row r="9" spans="1:9">
      <c r="A9" s="5">
        <v>45197</v>
      </c>
      <c r="B9" s="16">
        <v>45233</v>
      </c>
      <c r="C9" t="s">
        <v>1225</v>
      </c>
      <c r="D9" t="s">
        <v>71</v>
      </c>
      <c r="E9" t="s">
        <v>114</v>
      </c>
      <c r="F9" t="s">
        <v>1912</v>
      </c>
      <c r="G9" s="20">
        <v>230687.34</v>
      </c>
      <c r="H9" s="17">
        <v>1046</v>
      </c>
      <c r="I9" s="18">
        <v>2393</v>
      </c>
    </row>
    <row r="10" spans="1:9">
      <c r="A10" s="5">
        <v>45245</v>
      </c>
      <c r="B10" s="16">
        <v>45246</v>
      </c>
      <c r="C10" t="s">
        <v>436</v>
      </c>
      <c r="D10" t="s">
        <v>79</v>
      </c>
      <c r="E10" t="s">
        <v>117</v>
      </c>
      <c r="F10" t="s">
        <v>1913</v>
      </c>
      <c r="G10" s="20">
        <v>76089.23</v>
      </c>
      <c r="H10" s="17" t="s">
        <v>1911</v>
      </c>
      <c r="I10" s="18">
        <v>2414</v>
      </c>
    </row>
    <row r="11" spans="1:9">
      <c r="A11" s="5">
        <v>45245</v>
      </c>
      <c r="B11" s="16">
        <v>45246</v>
      </c>
      <c r="C11" t="s">
        <v>436</v>
      </c>
      <c r="D11" t="s">
        <v>79</v>
      </c>
      <c r="E11" t="s">
        <v>117</v>
      </c>
      <c r="F11" t="s">
        <v>1913</v>
      </c>
      <c r="G11" s="20">
        <v>72284.77</v>
      </c>
      <c r="H11" s="17" t="s">
        <v>1911</v>
      </c>
      <c r="I11" s="18" t="s">
        <v>1914</v>
      </c>
    </row>
    <row r="12" spans="1:9">
      <c r="A12" s="5">
        <v>45254</v>
      </c>
      <c r="B12" s="16">
        <v>45257</v>
      </c>
      <c r="C12" t="s">
        <v>417</v>
      </c>
      <c r="D12" t="s">
        <v>79</v>
      </c>
      <c r="E12" t="s">
        <v>114</v>
      </c>
      <c r="F12" t="s">
        <v>1915</v>
      </c>
      <c r="G12" s="20">
        <v>4960</v>
      </c>
      <c r="H12" s="17">
        <v>1055</v>
      </c>
      <c r="I12" s="18">
        <v>2420</v>
      </c>
    </row>
    <row r="13" spans="1:9">
      <c r="A13" s="5">
        <v>44956</v>
      </c>
      <c r="B13" s="16">
        <v>45258</v>
      </c>
      <c r="C13" t="s">
        <v>1280</v>
      </c>
      <c r="D13" t="s">
        <v>79</v>
      </c>
      <c r="E13" t="s">
        <v>96</v>
      </c>
      <c r="F13" t="s">
        <v>1916</v>
      </c>
      <c r="G13" s="20">
        <v>715053.64</v>
      </c>
      <c r="H13" s="17">
        <v>1018</v>
      </c>
      <c r="I13" s="19" t="s">
        <v>1917</v>
      </c>
    </row>
    <row r="14" spans="1:9">
      <c r="A14" s="5">
        <v>44851</v>
      </c>
      <c r="B14" s="16">
        <v>45258</v>
      </c>
      <c r="C14" t="s">
        <v>1280</v>
      </c>
      <c r="D14" t="s">
        <v>79</v>
      </c>
      <c r="E14" t="s">
        <v>78</v>
      </c>
      <c r="F14" t="s">
        <v>1918</v>
      </c>
      <c r="G14" s="20">
        <v>2194392.92</v>
      </c>
      <c r="H14" s="17">
        <v>1003</v>
      </c>
      <c r="I14" s="19" t="s">
        <v>1919</v>
      </c>
    </row>
    <row r="15" spans="1:9">
      <c r="A15" s="5">
        <v>45245</v>
      </c>
      <c r="B15" s="16">
        <v>45261</v>
      </c>
      <c r="C15" t="s">
        <v>736</v>
      </c>
      <c r="D15" t="s">
        <v>71</v>
      </c>
      <c r="E15" t="s">
        <v>114</v>
      </c>
      <c r="F15" t="s">
        <v>1920</v>
      </c>
      <c r="G15" s="20">
        <v>15325.87</v>
      </c>
      <c r="H15" s="17">
        <v>1052</v>
      </c>
      <c r="I15" s="18">
        <v>2405</v>
      </c>
    </row>
    <row r="16" spans="1:9">
      <c r="A16" s="5">
        <v>45260</v>
      </c>
      <c r="B16" s="16">
        <v>45266</v>
      </c>
      <c r="C16" t="s">
        <v>1434</v>
      </c>
      <c r="D16" t="s">
        <v>71</v>
      </c>
      <c r="E16" t="s">
        <v>117</v>
      </c>
      <c r="F16" t="s">
        <v>1921</v>
      </c>
      <c r="G16" s="20">
        <v>17009.48</v>
      </c>
      <c r="H16" s="17" t="s">
        <v>1911</v>
      </c>
      <c r="I16" s="18">
        <v>2417</v>
      </c>
    </row>
    <row r="17" spans="1:9">
      <c r="A17" s="5">
        <v>44972</v>
      </c>
      <c r="B17" s="16">
        <v>45266</v>
      </c>
      <c r="C17" t="s">
        <v>1247</v>
      </c>
      <c r="D17" t="s">
        <v>71</v>
      </c>
      <c r="E17" t="s">
        <v>78</v>
      </c>
      <c r="F17" t="s">
        <v>1922</v>
      </c>
      <c r="G17" s="21">
        <v>724765.7</v>
      </c>
      <c r="H17" s="17">
        <v>1023</v>
      </c>
      <c r="I17" s="19" t="s">
        <v>1923</v>
      </c>
    </row>
    <row r="18" spans="1:9">
      <c r="A18" s="5">
        <v>45245</v>
      </c>
      <c r="B18" s="16">
        <v>45266</v>
      </c>
      <c r="C18" t="s">
        <v>1247</v>
      </c>
      <c r="D18" t="s">
        <v>71</v>
      </c>
      <c r="E18" t="s">
        <v>78</v>
      </c>
      <c r="F18" t="s">
        <v>1924</v>
      </c>
      <c r="G18" s="21">
        <v>16613.18</v>
      </c>
      <c r="H18" s="17">
        <v>1054</v>
      </c>
      <c r="I18" s="19">
        <v>2404</v>
      </c>
    </row>
    <row r="19" spans="1:9">
      <c r="A19" s="5">
        <v>45257</v>
      </c>
      <c r="B19" s="16">
        <v>45267</v>
      </c>
      <c r="C19" t="s">
        <v>456</v>
      </c>
      <c r="D19" t="s">
        <v>71</v>
      </c>
      <c r="E19" t="s">
        <v>114</v>
      </c>
      <c r="F19" t="s">
        <v>1925</v>
      </c>
      <c r="G19" s="21">
        <v>6454</v>
      </c>
      <c r="H19" s="17">
        <v>1057</v>
      </c>
      <c r="I19" s="19" t="s">
        <v>1926</v>
      </c>
    </row>
    <row r="20" spans="1:9">
      <c r="A20" s="5">
        <v>44930</v>
      </c>
      <c r="B20" s="16">
        <v>45268</v>
      </c>
      <c r="C20" t="s">
        <v>436</v>
      </c>
      <c r="D20" t="s">
        <v>79</v>
      </c>
      <c r="E20" t="s">
        <v>114</v>
      </c>
      <c r="F20" t="s">
        <v>1927</v>
      </c>
      <c r="G20" s="20">
        <v>15788.39</v>
      </c>
      <c r="H20" s="17">
        <v>1012</v>
      </c>
      <c r="I20" s="18" t="s">
        <v>1928</v>
      </c>
    </row>
    <row r="21" spans="1:9">
      <c r="A21" s="5">
        <v>45245</v>
      </c>
      <c r="B21" s="16">
        <v>45271</v>
      </c>
      <c r="C21" t="s">
        <v>736</v>
      </c>
      <c r="D21" t="s">
        <v>71</v>
      </c>
      <c r="E21" t="s">
        <v>114</v>
      </c>
      <c r="F21" t="s">
        <v>1920</v>
      </c>
      <c r="G21" s="20">
        <v>3831.37</v>
      </c>
      <c r="H21" s="17">
        <v>1052</v>
      </c>
      <c r="I21" s="18">
        <v>2405</v>
      </c>
    </row>
    <row r="22" spans="1:9">
      <c r="A22" s="5">
        <v>45197</v>
      </c>
      <c r="B22" s="16">
        <v>45273</v>
      </c>
      <c r="C22" t="s">
        <v>1225</v>
      </c>
      <c r="D22" t="s">
        <v>71</v>
      </c>
      <c r="E22" t="s">
        <v>87</v>
      </c>
      <c r="F22" t="s">
        <v>1929</v>
      </c>
      <c r="G22" s="20">
        <v>404053.24</v>
      </c>
      <c r="H22" s="17">
        <v>1050</v>
      </c>
      <c r="I22" s="18" t="s">
        <v>1930</v>
      </c>
    </row>
    <row r="23" spans="1:9">
      <c r="A23" s="5">
        <v>45093</v>
      </c>
      <c r="B23" s="16">
        <v>45275</v>
      </c>
      <c r="C23" t="s">
        <v>755</v>
      </c>
      <c r="D23" t="s">
        <v>79</v>
      </c>
      <c r="E23" t="s">
        <v>114</v>
      </c>
      <c r="F23" t="s">
        <v>1931</v>
      </c>
      <c r="G23" s="20">
        <v>22938.41</v>
      </c>
      <c r="H23" s="17">
        <v>1034</v>
      </c>
      <c r="I23" s="18">
        <v>2330</v>
      </c>
    </row>
    <row r="24" spans="1:9">
      <c r="A24" s="5">
        <v>45245</v>
      </c>
      <c r="B24" s="16">
        <v>45278</v>
      </c>
      <c r="C24" t="s">
        <v>736</v>
      </c>
      <c r="D24" t="s">
        <v>71</v>
      </c>
      <c r="E24" t="s">
        <v>114</v>
      </c>
      <c r="F24" t="s">
        <v>1932</v>
      </c>
      <c r="G24" s="20">
        <v>7157</v>
      </c>
      <c r="H24" s="17">
        <v>1053</v>
      </c>
      <c r="I24" s="18">
        <v>2406</v>
      </c>
    </row>
    <row r="25" spans="1:9">
      <c r="A25" s="5">
        <v>45246</v>
      </c>
      <c r="B25" s="16">
        <v>45280</v>
      </c>
      <c r="C25" t="s">
        <v>456</v>
      </c>
      <c r="D25" t="s">
        <v>71</v>
      </c>
      <c r="E25" t="s">
        <v>117</v>
      </c>
      <c r="F25" t="s">
        <v>1933</v>
      </c>
      <c r="G25" s="20">
        <v>2019.28</v>
      </c>
      <c r="H25" s="17">
        <v>1059</v>
      </c>
      <c r="I25" s="18">
        <v>2418</v>
      </c>
    </row>
    <row r="26" spans="1:9">
      <c r="A26" s="5">
        <v>45215</v>
      </c>
      <c r="B26" s="16">
        <v>45280</v>
      </c>
      <c r="C26" t="s">
        <v>183</v>
      </c>
      <c r="D26" t="s">
        <v>79</v>
      </c>
      <c r="E26" t="s">
        <v>114</v>
      </c>
      <c r="F26" t="s">
        <v>1934</v>
      </c>
      <c r="G26" s="20">
        <v>22210.9</v>
      </c>
      <c r="H26" s="17">
        <v>1048</v>
      </c>
      <c r="I26" s="18">
        <v>2354</v>
      </c>
    </row>
    <row r="27" spans="1:9">
      <c r="A27" s="5">
        <v>45257</v>
      </c>
      <c r="B27" s="15">
        <v>45294</v>
      </c>
      <c r="C27" t="s">
        <v>463</v>
      </c>
      <c r="D27" t="s">
        <v>79</v>
      </c>
      <c r="E27" t="s">
        <v>117</v>
      </c>
      <c r="F27" t="s">
        <v>1935</v>
      </c>
      <c r="G27" s="20">
        <v>7107.25</v>
      </c>
      <c r="H27" s="30">
        <v>1056</v>
      </c>
      <c r="I27" s="24">
        <v>2416</v>
      </c>
    </row>
    <row r="28" spans="1:9">
      <c r="A28" s="5">
        <v>45296</v>
      </c>
      <c r="B28" s="22">
        <v>45301</v>
      </c>
      <c r="C28" t="s">
        <v>1247</v>
      </c>
      <c r="D28" t="s">
        <v>71</v>
      </c>
      <c r="E28" t="s">
        <v>114</v>
      </c>
      <c r="F28" t="s">
        <v>1936</v>
      </c>
      <c r="G28" s="20">
        <v>4700.5600000000004</v>
      </c>
      <c r="H28" s="30">
        <v>1062</v>
      </c>
      <c r="I28" s="24" t="s">
        <v>1937</v>
      </c>
    </row>
    <row r="29" spans="1:9">
      <c r="A29" s="5">
        <v>45271</v>
      </c>
      <c r="B29" s="16">
        <v>45309</v>
      </c>
      <c r="C29" t="s">
        <v>1099</v>
      </c>
      <c r="D29" t="s">
        <v>79</v>
      </c>
      <c r="E29" t="s">
        <v>114</v>
      </c>
      <c r="F29" t="s">
        <v>1938</v>
      </c>
      <c r="G29" s="20">
        <v>63300.39</v>
      </c>
      <c r="H29" s="30">
        <v>1061</v>
      </c>
      <c r="I29" s="24" t="s">
        <v>1939</v>
      </c>
    </row>
    <row r="30" spans="1:9">
      <c r="A30" s="5">
        <v>45267</v>
      </c>
      <c r="B30" s="16">
        <v>45323</v>
      </c>
      <c r="C30" t="s">
        <v>1099</v>
      </c>
      <c r="D30" t="s">
        <v>79</v>
      </c>
      <c r="E30" t="s">
        <v>114</v>
      </c>
      <c r="F30" t="s">
        <v>1940</v>
      </c>
      <c r="G30" s="20">
        <v>4014.08</v>
      </c>
      <c r="H30" s="31">
        <v>1064</v>
      </c>
      <c r="I30" s="25">
        <v>2435</v>
      </c>
    </row>
    <row r="31" spans="1:9">
      <c r="A31" s="5">
        <v>44950</v>
      </c>
      <c r="B31" s="16">
        <v>45323</v>
      </c>
      <c r="C31" t="s">
        <v>1041</v>
      </c>
      <c r="D31" t="s">
        <v>79</v>
      </c>
      <c r="E31" t="s">
        <v>114</v>
      </c>
      <c r="F31" t="s">
        <v>1941</v>
      </c>
      <c r="G31" s="20">
        <v>4040.87</v>
      </c>
      <c r="H31" s="31">
        <v>1068</v>
      </c>
      <c r="I31" s="24">
        <v>2480</v>
      </c>
    </row>
    <row r="32" spans="1:9">
      <c r="A32" s="5">
        <v>44941</v>
      </c>
      <c r="B32" s="16">
        <v>45323</v>
      </c>
      <c r="C32" t="s">
        <v>736</v>
      </c>
      <c r="D32" t="s">
        <v>71</v>
      </c>
      <c r="E32" t="s">
        <v>114</v>
      </c>
      <c r="F32" t="s">
        <v>1920</v>
      </c>
      <c r="G32" s="20">
        <v>8696.3799999999992</v>
      </c>
      <c r="H32" s="31">
        <v>1066</v>
      </c>
      <c r="I32" s="25">
        <v>2440</v>
      </c>
    </row>
    <row r="33" spans="1:9">
      <c r="A33" s="5">
        <v>45321</v>
      </c>
      <c r="B33" s="16">
        <v>45323</v>
      </c>
      <c r="C33" t="s">
        <v>456</v>
      </c>
      <c r="D33" t="s">
        <v>71</v>
      </c>
      <c r="E33" t="s">
        <v>117</v>
      </c>
      <c r="F33" t="s">
        <v>1942</v>
      </c>
      <c r="G33" s="20">
        <v>7823.95</v>
      </c>
      <c r="H33" s="31" t="s">
        <v>1943</v>
      </c>
      <c r="I33" s="25" t="s">
        <v>1944</v>
      </c>
    </row>
    <row r="34" spans="1:9">
      <c r="A34" s="5">
        <v>45165</v>
      </c>
      <c r="B34" s="22">
        <v>45328</v>
      </c>
      <c r="C34" t="s">
        <v>456</v>
      </c>
      <c r="D34" t="s">
        <v>71</v>
      </c>
      <c r="E34" t="s">
        <v>117</v>
      </c>
      <c r="F34" t="s">
        <v>1945</v>
      </c>
      <c r="G34" s="20">
        <v>340755.23</v>
      </c>
      <c r="H34" s="31">
        <v>1039</v>
      </c>
      <c r="I34" s="24" t="s">
        <v>1946</v>
      </c>
    </row>
    <row r="35" spans="1:9">
      <c r="A35" s="5">
        <v>45301</v>
      </c>
      <c r="B35" s="22">
        <v>45331</v>
      </c>
      <c r="C35" t="s">
        <v>327</v>
      </c>
      <c r="D35" t="s">
        <v>71</v>
      </c>
      <c r="E35" t="s">
        <v>117</v>
      </c>
      <c r="F35" t="s">
        <v>1947</v>
      </c>
      <c r="G35" s="20">
        <v>1027.98</v>
      </c>
      <c r="H35" s="31" t="s">
        <v>1911</v>
      </c>
      <c r="I35" s="24">
        <v>2468</v>
      </c>
    </row>
    <row r="36" spans="1:9">
      <c r="A36" s="5">
        <v>45321</v>
      </c>
      <c r="B36" s="16">
        <v>45336</v>
      </c>
      <c r="C36" t="s">
        <v>436</v>
      </c>
      <c r="D36" t="s">
        <v>79</v>
      </c>
      <c r="E36" t="s">
        <v>117</v>
      </c>
      <c r="F36" t="s">
        <v>1913</v>
      </c>
      <c r="G36" s="20">
        <v>76083.23</v>
      </c>
      <c r="H36" s="32" t="s">
        <v>1911</v>
      </c>
      <c r="I36" s="24" t="s">
        <v>1948</v>
      </c>
    </row>
    <row r="37" spans="1:9">
      <c r="A37" s="5">
        <v>45239</v>
      </c>
      <c r="B37" s="16">
        <v>45351</v>
      </c>
      <c r="C37" t="s">
        <v>913</v>
      </c>
      <c r="D37" t="s">
        <v>71</v>
      </c>
      <c r="E37" t="s">
        <v>111</v>
      </c>
      <c r="F37" t="s">
        <v>1949</v>
      </c>
      <c r="G37" s="20">
        <v>21575.58</v>
      </c>
      <c r="H37" s="32">
        <v>1051</v>
      </c>
      <c r="I37" s="24">
        <v>2391</v>
      </c>
    </row>
    <row r="38" spans="1:9">
      <c r="A38" s="5">
        <v>45301</v>
      </c>
      <c r="B38" s="22">
        <v>45352</v>
      </c>
      <c r="C38" t="s">
        <v>436</v>
      </c>
      <c r="D38" t="s">
        <v>79</v>
      </c>
      <c r="E38" t="s">
        <v>117</v>
      </c>
      <c r="F38" t="s">
        <v>1950</v>
      </c>
      <c r="G38" s="20">
        <v>127449.46</v>
      </c>
      <c r="H38" s="30" t="s">
        <v>1911</v>
      </c>
      <c r="I38" s="26">
        <v>2466</v>
      </c>
    </row>
    <row r="39" spans="1:9">
      <c r="A39" s="5">
        <v>45348</v>
      </c>
      <c r="B39" s="22">
        <v>45352</v>
      </c>
      <c r="C39" t="s">
        <v>755</v>
      </c>
      <c r="D39" t="s">
        <v>79</v>
      </c>
      <c r="E39" t="s">
        <v>114</v>
      </c>
      <c r="F39" t="s">
        <v>1931</v>
      </c>
      <c r="G39" s="20">
        <v>24128.47</v>
      </c>
      <c r="H39" s="30">
        <v>1070</v>
      </c>
      <c r="I39" s="26">
        <v>2509</v>
      </c>
    </row>
    <row r="40" spans="1:9">
      <c r="A40" s="5">
        <v>45351</v>
      </c>
      <c r="B40" s="22">
        <v>45356</v>
      </c>
      <c r="C40" t="s">
        <v>183</v>
      </c>
      <c r="D40" t="s">
        <v>79</v>
      </c>
      <c r="E40" t="s">
        <v>117</v>
      </c>
      <c r="F40" t="s">
        <v>1951</v>
      </c>
      <c r="G40" s="20">
        <v>12633.47</v>
      </c>
      <c r="H40" s="30" t="s">
        <v>1911</v>
      </c>
      <c r="I40" s="26">
        <v>2503</v>
      </c>
    </row>
    <row r="41" spans="1:9">
      <c r="A41" s="5">
        <v>45356</v>
      </c>
      <c r="B41" s="22">
        <v>45362</v>
      </c>
      <c r="C41" t="s">
        <v>417</v>
      </c>
      <c r="D41" t="s">
        <v>79</v>
      </c>
      <c r="E41" t="s">
        <v>114</v>
      </c>
      <c r="F41" t="s">
        <v>1952</v>
      </c>
      <c r="G41" s="20">
        <v>5389</v>
      </c>
      <c r="H41" s="30">
        <v>1074</v>
      </c>
      <c r="I41" s="26">
        <v>2490</v>
      </c>
    </row>
    <row r="42" spans="1:9">
      <c r="A42" s="5">
        <v>45349</v>
      </c>
      <c r="B42" s="22">
        <v>45364</v>
      </c>
      <c r="C42" t="s">
        <v>1664</v>
      </c>
      <c r="D42" t="s">
        <v>79</v>
      </c>
      <c r="E42" t="s">
        <v>114</v>
      </c>
      <c r="F42" t="s">
        <v>1953</v>
      </c>
      <c r="G42" s="20">
        <v>10126.5</v>
      </c>
      <c r="H42" s="30">
        <v>1071</v>
      </c>
      <c r="I42" s="26">
        <v>2487</v>
      </c>
    </row>
    <row r="43" spans="1:9">
      <c r="A43" s="5">
        <v>45330</v>
      </c>
      <c r="B43" s="15">
        <v>45365</v>
      </c>
      <c r="C43" t="s">
        <v>183</v>
      </c>
      <c r="D43" t="s">
        <v>79</v>
      </c>
      <c r="E43" t="s">
        <v>114</v>
      </c>
      <c r="F43" t="s">
        <v>1954</v>
      </c>
      <c r="G43" s="23">
        <v>9933.7099999999991</v>
      </c>
      <c r="H43" s="33">
        <v>1067</v>
      </c>
      <c r="I43" s="27" t="s">
        <v>1955</v>
      </c>
    </row>
    <row r="44" spans="1:9">
      <c r="A44" s="5">
        <v>45349</v>
      </c>
      <c r="B44" s="16">
        <v>45365</v>
      </c>
      <c r="C44" t="s">
        <v>1041</v>
      </c>
      <c r="D44" t="s">
        <v>79</v>
      </c>
      <c r="E44" t="s">
        <v>114</v>
      </c>
      <c r="F44" t="s">
        <v>1956</v>
      </c>
      <c r="G44" s="20">
        <v>5561.1</v>
      </c>
      <c r="H44" s="30">
        <v>1072</v>
      </c>
      <c r="I44" s="25">
        <v>2502</v>
      </c>
    </row>
    <row r="45" spans="1:9">
      <c r="A45" s="5">
        <v>45315</v>
      </c>
      <c r="B45" s="16">
        <v>45366</v>
      </c>
      <c r="C45" t="s">
        <v>436</v>
      </c>
      <c r="D45" t="s">
        <v>79</v>
      </c>
      <c r="E45" t="s">
        <v>117</v>
      </c>
      <c r="F45" t="s">
        <v>1957</v>
      </c>
      <c r="G45" s="20">
        <v>6003.43</v>
      </c>
      <c r="H45" s="30" t="s">
        <v>1911</v>
      </c>
      <c r="I45" s="24" t="s">
        <v>1958</v>
      </c>
    </row>
    <row r="46" spans="1:9">
      <c r="A46" s="5">
        <v>45366</v>
      </c>
      <c r="B46" s="16">
        <v>45370</v>
      </c>
      <c r="C46" t="s">
        <v>1549</v>
      </c>
      <c r="D46" t="s">
        <v>71</v>
      </c>
      <c r="E46" t="s">
        <v>114</v>
      </c>
      <c r="F46" t="s">
        <v>1959</v>
      </c>
      <c r="G46" s="20">
        <v>9187.5</v>
      </c>
      <c r="H46" s="30">
        <v>1077</v>
      </c>
      <c r="I46" s="24" t="s">
        <v>1960</v>
      </c>
    </row>
    <row r="47" spans="1:9">
      <c r="A47" s="5">
        <v>45370</v>
      </c>
      <c r="B47" s="22">
        <v>45386</v>
      </c>
      <c r="C47" t="s">
        <v>317</v>
      </c>
      <c r="D47" t="s">
        <v>71</v>
      </c>
      <c r="E47" t="s">
        <v>117</v>
      </c>
      <c r="F47" t="s">
        <v>1961</v>
      </c>
      <c r="G47" s="23">
        <v>3468.52</v>
      </c>
      <c r="H47" s="33">
        <v>1076</v>
      </c>
      <c r="I47" s="26">
        <v>2516</v>
      </c>
    </row>
    <row r="48" spans="1:9">
      <c r="A48" s="5">
        <v>45387</v>
      </c>
      <c r="B48" s="22">
        <v>45387</v>
      </c>
      <c r="C48" t="s">
        <v>1009</v>
      </c>
      <c r="D48" t="s">
        <v>71</v>
      </c>
      <c r="E48" t="s">
        <v>117</v>
      </c>
      <c r="F48" t="s">
        <v>1962</v>
      </c>
      <c r="G48" s="20">
        <v>3211.78</v>
      </c>
      <c r="H48" s="30">
        <v>1078</v>
      </c>
      <c r="I48" s="24">
        <v>2533</v>
      </c>
    </row>
    <row r="49" spans="1:9">
      <c r="A49" s="5">
        <v>45352</v>
      </c>
      <c r="B49" s="16">
        <v>45425</v>
      </c>
      <c r="C49" t="s">
        <v>421</v>
      </c>
      <c r="D49" t="s">
        <v>79</v>
      </c>
      <c r="E49" t="s">
        <v>114</v>
      </c>
      <c r="F49" s="37" t="s">
        <v>1963</v>
      </c>
      <c r="G49" s="20">
        <v>50941.01</v>
      </c>
      <c r="H49" s="30">
        <v>1073</v>
      </c>
      <c r="I49" s="24" t="s">
        <v>1964</v>
      </c>
    </row>
    <row r="50" spans="1:9">
      <c r="A50" s="5">
        <v>45422</v>
      </c>
      <c r="B50" s="16">
        <v>45426</v>
      </c>
      <c r="C50" t="s">
        <v>1062</v>
      </c>
      <c r="D50" t="s">
        <v>71</v>
      </c>
      <c r="E50" t="s">
        <v>114</v>
      </c>
      <c r="F50" t="s">
        <v>1965</v>
      </c>
      <c r="G50" s="20">
        <v>9642.5400000000009</v>
      </c>
      <c r="H50" s="30">
        <v>1082</v>
      </c>
      <c r="I50" s="24" t="s">
        <v>1966</v>
      </c>
    </row>
    <row r="51" spans="1:9">
      <c r="A51" s="5">
        <v>45425</v>
      </c>
      <c r="B51" s="16">
        <v>45432</v>
      </c>
      <c r="C51" t="s">
        <v>852</v>
      </c>
      <c r="D51" t="s">
        <v>79</v>
      </c>
      <c r="E51" t="s">
        <v>114</v>
      </c>
      <c r="F51" t="s">
        <v>1967</v>
      </c>
      <c r="G51" s="20">
        <v>4062.98</v>
      </c>
      <c r="H51" s="30">
        <v>1083</v>
      </c>
      <c r="I51" s="24" t="s">
        <v>1968</v>
      </c>
    </row>
    <row r="52" spans="1:9">
      <c r="A52" s="5">
        <v>45271</v>
      </c>
      <c r="B52" s="16">
        <v>45432</v>
      </c>
      <c r="C52" t="s">
        <v>456</v>
      </c>
      <c r="D52" t="s">
        <v>71</v>
      </c>
      <c r="E52" t="s">
        <v>117</v>
      </c>
      <c r="F52" t="s">
        <v>1969</v>
      </c>
      <c r="G52" s="20">
        <v>721500.32</v>
      </c>
      <c r="H52" s="30">
        <v>1060</v>
      </c>
      <c r="I52" s="24" t="s">
        <v>1970</v>
      </c>
    </row>
    <row r="53" spans="1:9">
      <c r="A53" s="5">
        <v>44895</v>
      </c>
      <c r="B53" s="16">
        <v>45434</v>
      </c>
      <c r="C53" t="s">
        <v>492</v>
      </c>
      <c r="D53" t="s">
        <v>79</v>
      </c>
      <c r="E53" t="s">
        <v>114</v>
      </c>
      <c r="F53" t="s">
        <v>1971</v>
      </c>
      <c r="G53" s="20">
        <v>213588.32</v>
      </c>
      <c r="H53" s="30">
        <v>1009</v>
      </c>
      <c r="I53" s="24" t="s">
        <v>1972</v>
      </c>
    </row>
    <row r="54" spans="1:9">
      <c r="A54" s="5">
        <v>45412</v>
      </c>
      <c r="B54" s="16">
        <v>45446</v>
      </c>
      <c r="C54" t="s">
        <v>585</v>
      </c>
      <c r="D54" t="s">
        <v>71</v>
      </c>
      <c r="E54" t="s">
        <v>117</v>
      </c>
      <c r="F54" t="s">
        <v>1973</v>
      </c>
      <c r="G54" s="20">
        <v>6300</v>
      </c>
      <c r="H54" s="30">
        <v>1079</v>
      </c>
      <c r="I54" s="24" t="s">
        <v>1974</v>
      </c>
    </row>
    <row r="55" spans="1:9">
      <c r="A55" s="5">
        <v>45425</v>
      </c>
      <c r="B55" s="16">
        <v>45446</v>
      </c>
      <c r="C55" t="s">
        <v>585</v>
      </c>
      <c r="D55" t="s">
        <v>71</v>
      </c>
      <c r="E55" t="s">
        <v>117</v>
      </c>
      <c r="F55" t="s">
        <v>1975</v>
      </c>
      <c r="G55" s="20">
        <v>2385.62</v>
      </c>
      <c r="H55" s="30">
        <v>1084</v>
      </c>
      <c r="I55" s="24">
        <v>2552</v>
      </c>
    </row>
    <row r="56" spans="1:9">
      <c r="A56" s="5">
        <v>45422</v>
      </c>
      <c r="B56" s="16">
        <v>45447</v>
      </c>
      <c r="C56" t="s">
        <v>1041</v>
      </c>
      <c r="D56" t="s">
        <v>79</v>
      </c>
      <c r="E56" t="s">
        <v>114</v>
      </c>
      <c r="F56" t="s">
        <v>1976</v>
      </c>
      <c r="G56" s="20">
        <v>5362.1</v>
      </c>
      <c r="H56" s="30">
        <v>1081</v>
      </c>
      <c r="I56" s="24">
        <v>2550</v>
      </c>
    </row>
    <row r="57" spans="1:9">
      <c r="A57" s="5">
        <v>45415</v>
      </c>
      <c r="B57" s="16">
        <v>45450</v>
      </c>
      <c r="C57" t="s">
        <v>183</v>
      </c>
      <c r="D57" t="s">
        <v>79</v>
      </c>
      <c r="E57" t="s">
        <v>114</v>
      </c>
      <c r="F57" t="s">
        <v>1977</v>
      </c>
      <c r="G57" s="20">
        <v>12060.3</v>
      </c>
      <c r="H57" s="30">
        <v>1080</v>
      </c>
      <c r="I57" s="26">
        <v>2507</v>
      </c>
    </row>
    <row r="58" spans="1:9">
      <c r="A58" s="5">
        <v>45461</v>
      </c>
      <c r="B58" s="16">
        <v>45483</v>
      </c>
      <c r="C58" t="s">
        <v>1247</v>
      </c>
      <c r="D58" t="s">
        <v>71</v>
      </c>
      <c r="E58" t="s">
        <v>114</v>
      </c>
      <c r="F58" t="s">
        <v>1978</v>
      </c>
      <c r="G58" s="20">
        <v>2996.8</v>
      </c>
      <c r="H58" s="30">
        <v>1088</v>
      </c>
      <c r="I58" s="26" t="s">
        <v>1979</v>
      </c>
    </row>
    <row r="59" spans="1:9">
      <c r="A59" s="5">
        <v>45462</v>
      </c>
      <c r="B59" s="16">
        <v>45491</v>
      </c>
      <c r="C59" t="s">
        <v>1575</v>
      </c>
      <c r="D59" t="s">
        <v>79</v>
      </c>
      <c r="E59" t="s">
        <v>87</v>
      </c>
      <c r="F59" t="s">
        <v>1980</v>
      </c>
      <c r="G59" s="20">
        <v>147676.38</v>
      </c>
      <c r="H59" s="30">
        <v>1090</v>
      </c>
      <c r="I59" s="24" t="s">
        <v>1981</v>
      </c>
    </row>
    <row r="60" spans="1:9">
      <c r="A60" s="5">
        <v>45506</v>
      </c>
      <c r="B60" s="16">
        <v>45512</v>
      </c>
      <c r="C60" t="s">
        <v>1099</v>
      </c>
      <c r="D60" t="s">
        <v>79</v>
      </c>
      <c r="E60" t="s">
        <v>114</v>
      </c>
      <c r="F60" t="s">
        <v>1982</v>
      </c>
      <c r="G60" s="20">
        <v>3075</v>
      </c>
      <c r="H60" s="30">
        <v>1099</v>
      </c>
      <c r="I60" s="24" t="s">
        <v>1983</v>
      </c>
    </row>
    <row r="61" spans="1:9">
      <c r="A61" s="5">
        <v>45506</v>
      </c>
      <c r="B61" s="16">
        <v>45512</v>
      </c>
      <c r="C61" t="s">
        <v>1099</v>
      </c>
      <c r="D61" t="s">
        <v>79</v>
      </c>
      <c r="E61" t="s">
        <v>117</v>
      </c>
      <c r="F61" t="s">
        <v>1984</v>
      </c>
      <c r="G61" s="20">
        <v>13011.29</v>
      </c>
      <c r="H61" s="30" t="s">
        <v>1911</v>
      </c>
      <c r="I61" s="24">
        <v>2608</v>
      </c>
    </row>
    <row r="62" spans="1:9">
      <c r="A62" s="5">
        <v>45509</v>
      </c>
      <c r="B62" s="16">
        <v>45516</v>
      </c>
      <c r="C62" t="s">
        <v>1440</v>
      </c>
      <c r="D62" t="s">
        <v>79</v>
      </c>
      <c r="E62" t="s">
        <v>111</v>
      </c>
      <c r="F62" t="s">
        <v>1985</v>
      </c>
      <c r="G62" s="20">
        <v>16000</v>
      </c>
      <c r="H62" s="30">
        <v>1097</v>
      </c>
      <c r="I62" s="24" t="s">
        <v>1986</v>
      </c>
    </row>
    <row r="63" spans="1:9">
      <c r="A63" s="5">
        <v>45511</v>
      </c>
      <c r="B63" s="16">
        <v>45516</v>
      </c>
      <c r="C63" t="s">
        <v>183</v>
      </c>
      <c r="D63" t="s">
        <v>79</v>
      </c>
      <c r="E63" t="s">
        <v>114</v>
      </c>
      <c r="F63" t="s">
        <v>1987</v>
      </c>
      <c r="G63" s="20">
        <v>12248.61</v>
      </c>
      <c r="H63" s="30">
        <v>1098</v>
      </c>
      <c r="I63" s="24">
        <v>2602</v>
      </c>
    </row>
    <row r="64" spans="1:9">
      <c r="A64" s="5">
        <v>45224</v>
      </c>
      <c r="B64" s="16">
        <v>45523</v>
      </c>
      <c r="C64" t="s">
        <v>1611</v>
      </c>
      <c r="D64" t="s">
        <v>71</v>
      </c>
      <c r="E64" t="s">
        <v>70</v>
      </c>
      <c r="F64" t="s">
        <v>1988</v>
      </c>
      <c r="G64" s="20">
        <v>758155.71</v>
      </c>
      <c r="H64" s="30">
        <v>1049</v>
      </c>
      <c r="I64" s="24" t="s">
        <v>1989</v>
      </c>
    </row>
    <row r="65" spans="1:9">
      <c r="A65" s="5">
        <v>45478</v>
      </c>
      <c r="B65" s="16">
        <v>45527</v>
      </c>
      <c r="C65" t="s">
        <v>1664</v>
      </c>
      <c r="D65" t="s">
        <v>79</v>
      </c>
      <c r="E65" t="s">
        <v>114</v>
      </c>
      <c r="F65" t="s">
        <v>1990</v>
      </c>
      <c r="G65" s="20">
        <v>6736.42</v>
      </c>
      <c r="H65" s="30">
        <v>1091</v>
      </c>
      <c r="I65" s="24" t="s">
        <v>1991</v>
      </c>
    </row>
    <row r="66" spans="1:9">
      <c r="A66" s="5">
        <v>45461</v>
      </c>
      <c r="B66" s="16">
        <v>45527</v>
      </c>
      <c r="C66" t="s">
        <v>1247</v>
      </c>
      <c r="D66" t="s">
        <v>71</v>
      </c>
      <c r="E66" t="s">
        <v>117</v>
      </c>
      <c r="F66" t="s">
        <v>1992</v>
      </c>
      <c r="G66" s="20">
        <v>3929.86</v>
      </c>
      <c r="H66" s="30">
        <v>1086</v>
      </c>
      <c r="I66" s="24" t="s">
        <v>1993</v>
      </c>
    </row>
    <row r="67" spans="1:9">
      <c r="A67" s="5">
        <v>45492</v>
      </c>
      <c r="B67" s="16">
        <v>45537</v>
      </c>
      <c r="C67" t="s">
        <v>1225</v>
      </c>
      <c r="D67" t="s">
        <v>71</v>
      </c>
      <c r="E67" t="s">
        <v>114</v>
      </c>
      <c r="F67" t="s">
        <v>1994</v>
      </c>
      <c r="G67" s="20">
        <v>234196.55</v>
      </c>
      <c r="H67" s="30">
        <v>1094</v>
      </c>
      <c r="I67" s="24" t="s">
        <v>1995</v>
      </c>
    </row>
    <row r="68" spans="1:9">
      <c r="A68" s="5">
        <v>45530</v>
      </c>
      <c r="B68" s="22">
        <v>45537</v>
      </c>
      <c r="C68" t="s">
        <v>456</v>
      </c>
      <c r="D68" t="s">
        <v>71</v>
      </c>
      <c r="E68" t="s">
        <v>114</v>
      </c>
      <c r="F68" t="s">
        <v>1996</v>
      </c>
      <c r="G68" s="20">
        <v>750</v>
      </c>
      <c r="H68" s="30">
        <v>1104</v>
      </c>
      <c r="I68" s="24">
        <v>2600</v>
      </c>
    </row>
    <row r="69" spans="1:9">
      <c r="A69" s="5">
        <v>45481</v>
      </c>
      <c r="B69" s="22">
        <v>45552</v>
      </c>
      <c r="C69" t="s">
        <v>456</v>
      </c>
      <c r="D69" t="s">
        <v>71</v>
      </c>
      <c r="E69" t="s">
        <v>117</v>
      </c>
      <c r="F69" t="s">
        <v>1997</v>
      </c>
      <c r="G69" s="20">
        <v>1835.22</v>
      </c>
      <c r="H69" s="20" t="s">
        <v>1911</v>
      </c>
      <c r="I69" s="20">
        <v>2594</v>
      </c>
    </row>
    <row r="70" spans="1:9">
      <c r="A70" s="5">
        <v>45509</v>
      </c>
      <c r="B70" s="22">
        <v>45552</v>
      </c>
      <c r="C70" t="s">
        <v>456</v>
      </c>
      <c r="D70" t="s">
        <v>71</v>
      </c>
      <c r="E70" t="s">
        <v>117</v>
      </c>
      <c r="F70" t="s">
        <v>1998</v>
      </c>
      <c r="G70" s="20">
        <v>455.63</v>
      </c>
      <c r="H70" s="20" t="s">
        <v>1911</v>
      </c>
      <c r="I70" s="20" t="s">
        <v>1999</v>
      </c>
    </row>
    <row r="71" spans="1:9">
      <c r="A71" s="5">
        <v>45548</v>
      </c>
      <c r="B71" s="16">
        <v>45559</v>
      </c>
      <c r="C71" t="s">
        <v>1041</v>
      </c>
      <c r="D71" t="s">
        <v>79</v>
      </c>
      <c r="E71" t="s">
        <v>114</v>
      </c>
      <c r="F71" t="s">
        <v>2000</v>
      </c>
      <c r="G71" s="23">
        <v>5302.1</v>
      </c>
      <c r="H71" s="34">
        <v>1105</v>
      </c>
      <c r="I71" s="26">
        <v>2632</v>
      </c>
    </row>
    <row r="72" spans="1:9">
      <c r="A72" s="5">
        <v>45509</v>
      </c>
      <c r="B72" s="16">
        <v>45566</v>
      </c>
      <c r="C72" t="s">
        <v>585</v>
      </c>
      <c r="D72" t="s">
        <v>71</v>
      </c>
      <c r="E72" t="s">
        <v>117</v>
      </c>
      <c r="F72" t="s">
        <v>2001</v>
      </c>
      <c r="G72" s="20">
        <v>2664.9</v>
      </c>
      <c r="H72" s="35" t="s">
        <v>1911</v>
      </c>
      <c r="I72" s="18">
        <v>2584</v>
      </c>
    </row>
    <row r="73" spans="1:9">
      <c r="A73" s="5">
        <v>45547</v>
      </c>
      <c r="B73" s="16">
        <v>45572</v>
      </c>
      <c r="C73" t="s">
        <v>1066</v>
      </c>
      <c r="D73" t="s">
        <v>79</v>
      </c>
      <c r="E73" t="s">
        <v>114</v>
      </c>
      <c r="F73" t="s">
        <v>1952</v>
      </c>
      <c r="G73" s="20">
        <v>3399</v>
      </c>
      <c r="H73" s="30">
        <v>1111</v>
      </c>
      <c r="I73" s="24">
        <v>2631</v>
      </c>
    </row>
    <row r="74" spans="1:9">
      <c r="A74" s="5">
        <v>45546</v>
      </c>
      <c r="B74" s="16">
        <v>45572</v>
      </c>
      <c r="C74" t="s">
        <v>456</v>
      </c>
      <c r="D74" t="s">
        <v>71</v>
      </c>
      <c r="E74" t="s">
        <v>114</v>
      </c>
      <c r="F74" t="s">
        <v>2002</v>
      </c>
      <c r="G74" s="20">
        <v>7299.6</v>
      </c>
      <c r="H74" s="30">
        <v>1112</v>
      </c>
      <c r="I74" s="24">
        <v>2626</v>
      </c>
    </row>
    <row r="75" spans="1:9">
      <c r="A75" s="5">
        <v>45468</v>
      </c>
      <c r="B75" s="16">
        <v>45566</v>
      </c>
      <c r="C75" t="s">
        <v>456</v>
      </c>
      <c r="D75" t="s">
        <v>71</v>
      </c>
      <c r="E75" t="s">
        <v>117</v>
      </c>
      <c r="F75" t="s">
        <v>2003</v>
      </c>
      <c r="G75" s="20">
        <v>4680.08</v>
      </c>
      <c r="H75" s="30">
        <v>1089</v>
      </c>
      <c r="I75" s="24">
        <v>2563</v>
      </c>
    </row>
    <row r="76" spans="1:9">
      <c r="A76" s="5">
        <v>45531</v>
      </c>
      <c r="B76" s="16">
        <v>45566</v>
      </c>
      <c r="C76" t="s">
        <v>456</v>
      </c>
      <c r="D76" t="s">
        <v>71</v>
      </c>
      <c r="E76" t="s">
        <v>117</v>
      </c>
      <c r="F76" t="s">
        <v>2004</v>
      </c>
      <c r="G76" s="20">
        <v>2175.34</v>
      </c>
      <c r="H76" s="30" t="s">
        <v>1911</v>
      </c>
      <c r="I76" s="24">
        <v>2596</v>
      </c>
    </row>
    <row r="77" spans="1:9">
      <c r="A77" s="5">
        <v>45365</v>
      </c>
      <c r="B77" s="16">
        <v>45579</v>
      </c>
      <c r="C77" t="s">
        <v>183</v>
      </c>
      <c r="D77" t="s">
        <v>79</v>
      </c>
      <c r="E77" t="s">
        <v>78</v>
      </c>
      <c r="F77" t="s">
        <v>2005</v>
      </c>
      <c r="G77" s="20">
        <v>190886.5</v>
      </c>
      <c r="H77" s="30">
        <v>1075</v>
      </c>
      <c r="I77" s="24" t="s">
        <v>2006</v>
      </c>
    </row>
    <row r="78" spans="1:9">
      <c r="A78" s="5">
        <v>45548</v>
      </c>
      <c r="B78" s="22">
        <v>45583</v>
      </c>
      <c r="C78" t="s">
        <v>1019</v>
      </c>
      <c r="D78" t="s">
        <v>79</v>
      </c>
      <c r="E78" t="s">
        <v>117</v>
      </c>
      <c r="F78" t="s">
        <v>2007</v>
      </c>
      <c r="G78" s="23">
        <v>2831.8</v>
      </c>
      <c r="H78" s="34" t="s">
        <v>1911</v>
      </c>
      <c r="I78" s="26">
        <v>2604</v>
      </c>
    </row>
    <row r="79" spans="1:9">
      <c r="A79" s="5">
        <v>45303</v>
      </c>
      <c r="B79" s="22">
        <v>45579</v>
      </c>
      <c r="C79" t="s">
        <v>560</v>
      </c>
      <c r="D79" t="s">
        <v>71</v>
      </c>
      <c r="E79" t="s">
        <v>78</v>
      </c>
      <c r="F79" t="s">
        <v>2008</v>
      </c>
      <c r="G79" s="23">
        <v>145149.29999999999</v>
      </c>
      <c r="H79" s="34">
        <v>1065</v>
      </c>
      <c r="I79" s="26">
        <v>2432</v>
      </c>
    </row>
    <row r="80" spans="1:9">
      <c r="A80" s="5">
        <v>45554</v>
      </c>
      <c r="B80" s="16">
        <v>45602</v>
      </c>
      <c r="C80" t="s">
        <v>852</v>
      </c>
      <c r="D80" t="s">
        <v>79</v>
      </c>
      <c r="E80" t="s">
        <v>114</v>
      </c>
      <c r="F80" t="s">
        <v>2009</v>
      </c>
      <c r="G80" s="20">
        <v>4062.68</v>
      </c>
      <c r="H80" s="30">
        <v>1106</v>
      </c>
      <c r="I80" s="24">
        <v>2597</v>
      </c>
    </row>
    <row r="81" spans="1:9">
      <c r="A81" s="5">
        <v>45518</v>
      </c>
      <c r="B81" s="16">
        <v>45602</v>
      </c>
      <c r="C81" t="s">
        <v>560</v>
      </c>
      <c r="D81" t="s">
        <v>71</v>
      </c>
      <c r="E81" t="s">
        <v>114</v>
      </c>
      <c r="F81" t="s">
        <v>2010</v>
      </c>
      <c r="G81" s="20">
        <v>85140.73</v>
      </c>
      <c r="H81" s="30">
        <v>1101</v>
      </c>
      <c r="I81" s="24" t="s">
        <v>2011</v>
      </c>
    </row>
    <row r="82" spans="1:9">
      <c r="A82" s="5">
        <v>45558</v>
      </c>
      <c r="B82" s="16">
        <v>45604</v>
      </c>
      <c r="C82" t="s">
        <v>1099</v>
      </c>
      <c r="D82" t="s">
        <v>79</v>
      </c>
      <c r="E82" t="s">
        <v>117</v>
      </c>
      <c r="F82" t="s">
        <v>2012</v>
      </c>
      <c r="G82" s="20">
        <v>16734.919999999998</v>
      </c>
      <c r="H82" s="30" t="s">
        <v>1911</v>
      </c>
      <c r="I82" s="24" t="s">
        <v>2013</v>
      </c>
    </row>
    <row r="83" spans="1:9">
      <c r="A83" s="5">
        <v>45581</v>
      </c>
      <c r="B83" s="16">
        <v>45597</v>
      </c>
      <c r="C83" t="s">
        <v>456</v>
      </c>
      <c r="D83" t="s">
        <v>71</v>
      </c>
      <c r="E83" t="s">
        <v>114</v>
      </c>
      <c r="F83" t="s">
        <v>2014</v>
      </c>
      <c r="G83" s="20">
        <v>32741.64</v>
      </c>
      <c r="H83" s="30">
        <v>1114</v>
      </c>
      <c r="I83" s="24">
        <v>2668</v>
      </c>
    </row>
    <row r="84" spans="1:9">
      <c r="A84" s="5">
        <v>45579</v>
      </c>
      <c r="B84" s="16">
        <v>45609</v>
      </c>
      <c r="C84" t="s">
        <v>183</v>
      </c>
      <c r="D84" t="s">
        <v>79</v>
      </c>
      <c r="E84" t="s">
        <v>114</v>
      </c>
      <c r="F84" t="s">
        <v>2015</v>
      </c>
      <c r="G84" s="20">
        <v>11592.65</v>
      </c>
      <c r="H84" s="30">
        <v>1020</v>
      </c>
      <c r="I84" s="29">
        <v>2669</v>
      </c>
    </row>
    <row r="85" spans="1:9">
      <c r="A85" s="5">
        <v>45601</v>
      </c>
      <c r="B85" s="16">
        <v>45610</v>
      </c>
      <c r="C85" t="s">
        <v>1442</v>
      </c>
      <c r="D85" t="s">
        <v>79</v>
      </c>
      <c r="E85" t="s">
        <v>114</v>
      </c>
      <c r="F85" t="s">
        <v>2016</v>
      </c>
      <c r="G85" s="20">
        <v>2874</v>
      </c>
      <c r="H85" s="30">
        <v>1119</v>
      </c>
      <c r="I85" s="29" t="s">
        <v>2017</v>
      </c>
    </row>
    <row r="86" spans="1:9">
      <c r="A86" s="5">
        <v>45596</v>
      </c>
      <c r="B86" s="16">
        <v>45621</v>
      </c>
      <c r="C86" t="s">
        <v>514</v>
      </c>
      <c r="D86" t="s">
        <v>79</v>
      </c>
      <c r="E86" t="s">
        <v>78</v>
      </c>
      <c r="F86" t="s">
        <v>2018</v>
      </c>
      <c r="G86" s="20">
        <v>350432.18</v>
      </c>
      <c r="H86" s="30">
        <v>1117</v>
      </c>
      <c r="I86" s="29" t="s">
        <v>2019</v>
      </c>
    </row>
    <row r="87" spans="1:9">
      <c r="A87" s="5">
        <v>45415</v>
      </c>
      <c r="B87" s="16">
        <v>45622</v>
      </c>
      <c r="C87" t="s">
        <v>1099</v>
      </c>
      <c r="D87" t="s">
        <v>79</v>
      </c>
      <c r="E87" t="s">
        <v>117</v>
      </c>
      <c r="F87" t="s">
        <v>2020</v>
      </c>
      <c r="G87" s="20">
        <v>88967.94</v>
      </c>
      <c r="H87" s="30" t="s">
        <v>1911</v>
      </c>
      <c r="I87" s="24" t="s">
        <v>2021</v>
      </c>
    </row>
    <row r="88" spans="1:9">
      <c r="A88" s="5">
        <v>45595</v>
      </c>
      <c r="B88" s="16">
        <v>45628</v>
      </c>
      <c r="C88" t="s">
        <v>585</v>
      </c>
      <c r="D88" t="s">
        <v>71</v>
      </c>
      <c r="E88" t="s">
        <v>114</v>
      </c>
      <c r="F88" t="s">
        <v>2022</v>
      </c>
      <c r="G88" s="20">
        <v>20203.96</v>
      </c>
      <c r="H88" s="28">
        <v>1116</v>
      </c>
      <c r="I88" s="24">
        <v>2676</v>
      </c>
    </row>
    <row r="89" spans="1:9">
      <c r="A89" s="5">
        <v>45624</v>
      </c>
      <c r="B89" s="16">
        <v>45629</v>
      </c>
      <c r="C89" t="s">
        <v>1019</v>
      </c>
      <c r="D89" t="s">
        <v>79</v>
      </c>
      <c r="E89" t="s">
        <v>114</v>
      </c>
      <c r="F89" t="s">
        <v>2023</v>
      </c>
      <c r="G89" s="20">
        <v>3423.5</v>
      </c>
      <c r="H89" s="30">
        <v>1124</v>
      </c>
      <c r="I89" s="24">
        <v>2689</v>
      </c>
    </row>
    <row r="90" spans="1:9">
      <c r="A90" s="5">
        <v>45568</v>
      </c>
      <c r="B90" s="16">
        <v>45629</v>
      </c>
      <c r="C90" t="s">
        <v>585</v>
      </c>
      <c r="D90" t="s">
        <v>71</v>
      </c>
      <c r="E90" t="s">
        <v>114</v>
      </c>
      <c r="F90" t="s">
        <v>2024</v>
      </c>
      <c r="G90" s="20">
        <v>139148.01</v>
      </c>
      <c r="H90" s="30">
        <v>1109</v>
      </c>
      <c r="I90" s="24">
        <v>2659</v>
      </c>
    </row>
    <row r="91" spans="1:9">
      <c r="A91" s="5">
        <v>45478</v>
      </c>
      <c r="B91" s="16">
        <v>45628</v>
      </c>
      <c r="C91" t="s">
        <v>1062</v>
      </c>
      <c r="D91" t="s">
        <v>71</v>
      </c>
      <c r="E91" t="s">
        <v>117</v>
      </c>
      <c r="F91" t="s">
        <v>2025</v>
      </c>
      <c r="G91" s="20">
        <v>3335.56</v>
      </c>
      <c r="H91" s="30" t="s">
        <v>1911</v>
      </c>
      <c r="I91" s="24">
        <v>2585</v>
      </c>
    </row>
    <row r="92" spans="1:9">
      <c r="A92" s="5">
        <v>45492</v>
      </c>
      <c r="B92" s="16">
        <v>45630</v>
      </c>
      <c r="C92" t="s">
        <v>1225</v>
      </c>
      <c r="D92" t="s">
        <v>71</v>
      </c>
      <c r="E92" t="s">
        <v>87</v>
      </c>
      <c r="F92" t="s">
        <v>2026</v>
      </c>
      <c r="G92" s="20">
        <v>117308.33</v>
      </c>
      <c r="H92" s="36">
        <v>1093</v>
      </c>
      <c r="I92" s="24" t="s">
        <v>2027</v>
      </c>
    </row>
    <row r="93" spans="1:9">
      <c r="A93" s="5">
        <v>45602</v>
      </c>
      <c r="B93" s="16">
        <v>45639</v>
      </c>
      <c r="C93" t="s">
        <v>1099</v>
      </c>
      <c r="D93" t="s">
        <v>79</v>
      </c>
      <c r="E93" t="s">
        <v>117</v>
      </c>
      <c r="F93" t="s">
        <v>2028</v>
      </c>
      <c r="G93" s="20">
        <v>27771.52</v>
      </c>
      <c r="H93" s="30" t="s">
        <v>1911</v>
      </c>
      <c r="I93" s="24">
        <v>2686</v>
      </c>
    </row>
    <row r="94" spans="1:9">
      <c r="A94" s="5">
        <v>45596</v>
      </c>
      <c r="B94" s="16">
        <v>45639</v>
      </c>
      <c r="C94" t="s">
        <v>1099</v>
      </c>
      <c r="D94" t="s">
        <v>79</v>
      </c>
      <c r="E94" t="s">
        <v>117</v>
      </c>
      <c r="F94" t="s">
        <v>2028</v>
      </c>
      <c r="G94" s="20">
        <v>27771.52</v>
      </c>
      <c r="H94" s="30" t="s">
        <v>1911</v>
      </c>
      <c r="I94" s="24" t="s">
        <v>2029</v>
      </c>
    </row>
    <row r="95" spans="1:9">
      <c r="A95" s="5">
        <v>45624</v>
      </c>
      <c r="B95" s="16">
        <v>45638</v>
      </c>
      <c r="C95" t="s">
        <v>560</v>
      </c>
      <c r="D95" t="s">
        <v>71</v>
      </c>
      <c r="E95" t="s">
        <v>117</v>
      </c>
      <c r="F95" t="s">
        <v>2030</v>
      </c>
      <c r="G95" s="20">
        <v>81984.539999999994</v>
      </c>
      <c r="H95" s="30">
        <v>1125</v>
      </c>
      <c r="I95" s="24" t="s">
        <v>2031</v>
      </c>
    </row>
    <row r="96" spans="1:9">
      <c r="A96" s="5">
        <v>45443</v>
      </c>
      <c r="B96" s="16">
        <v>45638</v>
      </c>
      <c r="C96" t="s">
        <v>560</v>
      </c>
      <c r="D96" t="s">
        <v>71</v>
      </c>
      <c r="E96" t="s">
        <v>87</v>
      </c>
      <c r="F96" t="s">
        <v>2032</v>
      </c>
      <c r="G96" s="20">
        <v>987184</v>
      </c>
      <c r="H96" s="30">
        <v>1085</v>
      </c>
      <c r="I96" s="24" t="s">
        <v>2033</v>
      </c>
    </row>
    <row r="97" spans="1:9">
      <c r="A97" s="5">
        <v>45271</v>
      </c>
      <c r="B97" s="16">
        <v>45656</v>
      </c>
      <c r="C97" t="s">
        <v>1037</v>
      </c>
      <c r="D97" t="s">
        <v>79</v>
      </c>
      <c r="E97" t="s">
        <v>70</v>
      </c>
      <c r="F97" t="s">
        <v>2034</v>
      </c>
      <c r="G97" s="20">
        <v>6376319.8399999999</v>
      </c>
      <c r="H97" s="30">
        <v>1058</v>
      </c>
      <c r="I97" s="24" t="s">
        <v>2035</v>
      </c>
    </row>
    <row r="98" spans="1:9">
      <c r="A98" s="5">
        <v>45617</v>
      </c>
      <c r="B98" s="38">
        <v>45666</v>
      </c>
      <c r="C98" t="s">
        <v>1398</v>
      </c>
      <c r="D98" t="s">
        <v>79</v>
      </c>
      <c r="E98" t="s">
        <v>78</v>
      </c>
      <c r="F98" t="s">
        <v>2036</v>
      </c>
      <c r="G98" s="42">
        <v>483506.39</v>
      </c>
      <c r="H98" s="45">
        <v>1122</v>
      </c>
      <c r="I98" s="24" t="s">
        <v>2037</v>
      </c>
    </row>
    <row r="99" spans="1:9">
      <c r="A99" s="5">
        <v>45530</v>
      </c>
      <c r="B99" s="38">
        <v>45671</v>
      </c>
      <c r="C99" t="s">
        <v>183</v>
      </c>
      <c r="D99" t="s">
        <v>79</v>
      </c>
      <c r="E99" t="s">
        <v>78</v>
      </c>
      <c r="F99" t="s">
        <v>2038</v>
      </c>
      <c r="G99" s="42">
        <v>174308.42</v>
      </c>
      <c r="H99" s="45">
        <v>1103</v>
      </c>
      <c r="I99" s="24" t="s">
        <v>2039</v>
      </c>
    </row>
    <row r="100" spans="1:9">
      <c r="A100" s="5">
        <v>45560</v>
      </c>
      <c r="B100" s="38">
        <v>45672</v>
      </c>
      <c r="C100" t="s">
        <v>456</v>
      </c>
      <c r="D100" t="s">
        <v>71</v>
      </c>
      <c r="E100" t="s">
        <v>117</v>
      </c>
      <c r="F100" t="s">
        <v>2040</v>
      </c>
      <c r="G100" s="42">
        <v>18511.48</v>
      </c>
      <c r="H100" s="45" t="s">
        <v>1911</v>
      </c>
      <c r="I100" s="24">
        <v>2619</v>
      </c>
    </row>
    <row r="101" spans="1:9">
      <c r="A101" s="5">
        <v>45590</v>
      </c>
      <c r="B101" s="38">
        <v>45674</v>
      </c>
      <c r="C101" t="s">
        <v>183</v>
      </c>
      <c r="D101" t="s">
        <v>79</v>
      </c>
      <c r="E101" t="s">
        <v>78</v>
      </c>
      <c r="F101" t="s">
        <v>2041</v>
      </c>
      <c r="G101" s="42">
        <v>296389.05</v>
      </c>
      <c r="H101" s="45">
        <v>1113</v>
      </c>
      <c r="I101" s="24" t="s">
        <v>2042</v>
      </c>
    </row>
    <row r="102" spans="1:9">
      <c r="A102" s="5">
        <v>45672</v>
      </c>
      <c r="B102" s="39">
        <v>45681</v>
      </c>
      <c r="C102" t="s">
        <v>1062</v>
      </c>
      <c r="D102" t="s">
        <v>71</v>
      </c>
      <c r="E102" t="s">
        <v>117</v>
      </c>
      <c r="F102" t="s">
        <v>2043</v>
      </c>
      <c r="G102" s="43">
        <v>4847.3100000000004</v>
      </c>
      <c r="H102" s="47" t="s">
        <v>1911</v>
      </c>
      <c r="I102" s="48">
        <v>2714</v>
      </c>
    </row>
    <row r="103" spans="1:9">
      <c r="A103" s="5">
        <v>45706</v>
      </c>
      <c r="B103" s="38">
        <v>45707</v>
      </c>
      <c r="C103" t="s">
        <v>1099</v>
      </c>
      <c r="D103" t="s">
        <v>79</v>
      </c>
      <c r="E103" t="s">
        <v>114</v>
      </c>
      <c r="F103" t="s">
        <v>2044</v>
      </c>
      <c r="G103" s="42">
        <v>5755</v>
      </c>
      <c r="H103" s="45">
        <v>1142</v>
      </c>
      <c r="I103" s="24" t="s">
        <v>2045</v>
      </c>
    </row>
    <row r="104" spans="1:9">
      <c r="A104" s="5">
        <v>45672</v>
      </c>
      <c r="B104" s="38">
        <v>45707</v>
      </c>
      <c r="C104" t="s">
        <v>1099</v>
      </c>
      <c r="D104" t="s">
        <v>79</v>
      </c>
      <c r="E104" t="s">
        <v>114</v>
      </c>
      <c r="F104" t="s">
        <v>2046</v>
      </c>
      <c r="G104" s="42">
        <v>4400</v>
      </c>
      <c r="H104" s="45">
        <v>1144</v>
      </c>
      <c r="I104" s="24" t="s">
        <v>2047</v>
      </c>
    </row>
    <row r="105" spans="1:9">
      <c r="A105" s="5">
        <v>45706</v>
      </c>
      <c r="B105" s="38">
        <v>45708</v>
      </c>
      <c r="C105" t="s">
        <v>327</v>
      </c>
      <c r="D105" t="s">
        <v>71</v>
      </c>
      <c r="E105" t="s">
        <v>117</v>
      </c>
      <c r="F105" t="s">
        <v>2048</v>
      </c>
      <c r="G105" s="42">
        <v>656</v>
      </c>
      <c r="H105" s="45" t="s">
        <v>1911</v>
      </c>
      <c r="I105" s="24">
        <v>2759</v>
      </c>
    </row>
    <row r="106" spans="1:9">
      <c r="A106" s="5">
        <v>45695</v>
      </c>
      <c r="B106" s="38">
        <v>45709</v>
      </c>
      <c r="C106" t="s">
        <v>1611</v>
      </c>
      <c r="D106" t="s">
        <v>71</v>
      </c>
      <c r="E106" t="s">
        <v>117</v>
      </c>
      <c r="F106" t="s">
        <v>2049</v>
      </c>
      <c r="G106" s="42">
        <v>83.01</v>
      </c>
      <c r="H106" s="45">
        <v>1136</v>
      </c>
      <c r="I106" s="24">
        <v>2751</v>
      </c>
    </row>
    <row r="107" spans="1:9">
      <c r="A107" s="5">
        <v>45625</v>
      </c>
      <c r="B107" s="38">
        <v>45714</v>
      </c>
      <c r="C107" t="s">
        <v>1037</v>
      </c>
      <c r="D107" t="s">
        <v>79</v>
      </c>
      <c r="E107" t="s">
        <v>117</v>
      </c>
      <c r="F107" t="s">
        <v>2050</v>
      </c>
      <c r="G107" s="42">
        <v>8121.01</v>
      </c>
      <c r="H107" s="45">
        <v>1126</v>
      </c>
      <c r="I107" s="24">
        <v>2692</v>
      </c>
    </row>
    <row r="108" spans="1:9">
      <c r="A108" s="5">
        <v>45649</v>
      </c>
      <c r="B108" s="38">
        <v>45714</v>
      </c>
      <c r="C108" t="s">
        <v>1037</v>
      </c>
      <c r="D108" t="s">
        <v>79</v>
      </c>
      <c r="E108" t="s">
        <v>117</v>
      </c>
      <c r="F108" t="s">
        <v>2051</v>
      </c>
      <c r="G108" s="42">
        <v>37824.720000000001</v>
      </c>
      <c r="H108" s="45">
        <v>1129</v>
      </c>
      <c r="I108" s="24">
        <v>2702</v>
      </c>
    </row>
    <row r="109" spans="1:9">
      <c r="A109" s="5">
        <v>45649</v>
      </c>
      <c r="B109" s="38">
        <v>45714</v>
      </c>
      <c r="C109" t="s">
        <v>1037</v>
      </c>
      <c r="D109" t="s">
        <v>79</v>
      </c>
      <c r="E109" t="s">
        <v>117</v>
      </c>
      <c r="F109" t="s">
        <v>2052</v>
      </c>
      <c r="G109" s="42">
        <v>42908.28</v>
      </c>
      <c r="H109" s="45">
        <v>1130</v>
      </c>
      <c r="I109" s="24">
        <v>2703</v>
      </c>
    </row>
    <row r="110" spans="1:9">
      <c r="A110" s="5">
        <v>45649</v>
      </c>
      <c r="B110" s="38">
        <v>45714</v>
      </c>
      <c r="C110" t="s">
        <v>1037</v>
      </c>
      <c r="D110" t="s">
        <v>79</v>
      </c>
      <c r="E110" t="s">
        <v>117</v>
      </c>
      <c r="F110" t="s">
        <v>2053</v>
      </c>
      <c r="G110" s="42">
        <v>38941.78</v>
      </c>
      <c r="H110" s="45">
        <v>1131</v>
      </c>
      <c r="I110" s="24">
        <v>2704</v>
      </c>
    </row>
    <row r="111" spans="1:9">
      <c r="A111" s="5">
        <v>45649</v>
      </c>
      <c r="B111" s="38">
        <v>45714</v>
      </c>
      <c r="C111" t="s">
        <v>1037</v>
      </c>
      <c r="D111" t="s">
        <v>79</v>
      </c>
      <c r="E111" t="s">
        <v>117</v>
      </c>
      <c r="F111" t="s">
        <v>2054</v>
      </c>
      <c r="G111" s="42">
        <v>28421.119999999999</v>
      </c>
      <c r="H111" s="45">
        <v>1132</v>
      </c>
      <c r="I111" s="24">
        <v>2711</v>
      </c>
    </row>
    <row r="112" spans="1:9">
      <c r="A112" s="5">
        <v>45649</v>
      </c>
      <c r="B112" s="38">
        <v>45714</v>
      </c>
      <c r="C112" t="s">
        <v>1037</v>
      </c>
      <c r="D112" t="s">
        <v>79</v>
      </c>
      <c r="E112" t="s">
        <v>117</v>
      </c>
      <c r="F112" t="s">
        <v>2055</v>
      </c>
      <c r="G112" s="42">
        <v>43357.2</v>
      </c>
      <c r="H112" s="45">
        <v>1133</v>
      </c>
      <c r="I112" s="24">
        <v>2705</v>
      </c>
    </row>
    <row r="113" spans="1:9">
      <c r="A113" s="5">
        <v>45601</v>
      </c>
      <c r="B113" s="38">
        <v>45726</v>
      </c>
      <c r="C113" t="s">
        <v>1099</v>
      </c>
      <c r="D113" t="s">
        <v>79</v>
      </c>
      <c r="E113" t="s">
        <v>117</v>
      </c>
      <c r="F113" t="s">
        <v>2056</v>
      </c>
      <c r="G113" s="42">
        <v>2208.14</v>
      </c>
      <c r="H113" s="45" t="s">
        <v>1911</v>
      </c>
      <c r="I113" s="24" t="s">
        <v>2057</v>
      </c>
    </row>
    <row r="114" spans="1:9">
      <c r="A114" s="5">
        <v>45695</v>
      </c>
      <c r="B114" s="38">
        <v>45734</v>
      </c>
      <c r="C114" t="s">
        <v>1611</v>
      </c>
      <c r="D114" t="s">
        <v>71</v>
      </c>
      <c r="E114" t="s">
        <v>117</v>
      </c>
      <c r="F114" t="s">
        <v>2058</v>
      </c>
      <c r="G114" s="42">
        <v>2393.5300000000002</v>
      </c>
      <c r="H114" s="45">
        <v>1137</v>
      </c>
      <c r="I114" s="24">
        <v>2753</v>
      </c>
    </row>
    <row r="115" spans="1:9">
      <c r="A115" s="5">
        <v>45630</v>
      </c>
      <c r="B115" s="38">
        <v>45734</v>
      </c>
      <c r="C115" t="s">
        <v>1247</v>
      </c>
      <c r="D115" t="s">
        <v>71</v>
      </c>
      <c r="E115" t="s">
        <v>78</v>
      </c>
      <c r="F115" t="s">
        <v>2059</v>
      </c>
      <c r="G115" s="42">
        <v>23908.22</v>
      </c>
      <c r="H115" s="45">
        <v>1127</v>
      </c>
      <c r="I115" s="24" t="s">
        <v>2060</v>
      </c>
    </row>
    <row r="116" spans="1:9">
      <c r="A116" s="5">
        <v>45715</v>
      </c>
      <c r="B116" s="38">
        <v>45735</v>
      </c>
      <c r="C116" t="s">
        <v>1037</v>
      </c>
      <c r="D116" t="s">
        <v>79</v>
      </c>
      <c r="E116" t="s">
        <v>114</v>
      </c>
      <c r="F116" t="s">
        <v>2061</v>
      </c>
      <c r="G116" s="42">
        <v>29705.84</v>
      </c>
      <c r="H116" s="45">
        <v>1149</v>
      </c>
      <c r="I116" s="24">
        <v>2764</v>
      </c>
    </row>
    <row r="117" spans="1:9">
      <c r="A117" s="5">
        <v>45706</v>
      </c>
      <c r="B117" s="38">
        <v>45742</v>
      </c>
      <c r="C117" t="s">
        <v>1099</v>
      </c>
      <c r="D117" t="s">
        <v>79</v>
      </c>
      <c r="E117" t="s">
        <v>117</v>
      </c>
      <c r="F117" t="s">
        <v>2062</v>
      </c>
      <c r="G117" s="42">
        <v>26954.25</v>
      </c>
      <c r="H117" s="45" t="s">
        <v>1911</v>
      </c>
      <c r="I117" s="24" t="s">
        <v>2063</v>
      </c>
    </row>
    <row r="118" spans="1:9">
      <c r="A118" s="5">
        <v>45601</v>
      </c>
      <c r="B118" s="38">
        <v>45755</v>
      </c>
      <c r="C118" t="s">
        <v>231</v>
      </c>
      <c r="D118" t="s">
        <v>71</v>
      </c>
      <c r="E118" t="s">
        <v>96</v>
      </c>
      <c r="F118" t="s">
        <v>2064</v>
      </c>
      <c r="G118" s="42">
        <v>327671.58</v>
      </c>
      <c r="H118" s="45">
        <v>1118</v>
      </c>
      <c r="I118" s="24" t="s">
        <v>2065</v>
      </c>
    </row>
    <row r="119" spans="1:9">
      <c r="A119" s="5">
        <v>45695</v>
      </c>
      <c r="B119" s="38">
        <v>45756</v>
      </c>
      <c r="C119" t="s">
        <v>560</v>
      </c>
      <c r="D119" t="s">
        <v>71</v>
      </c>
      <c r="E119" t="s">
        <v>96</v>
      </c>
      <c r="F119" t="s">
        <v>2066</v>
      </c>
      <c r="G119" s="42">
        <v>22557.23</v>
      </c>
      <c r="H119" s="45">
        <v>1147</v>
      </c>
      <c r="I119" s="24">
        <v>2756</v>
      </c>
    </row>
    <row r="120" spans="1:9">
      <c r="A120" s="5">
        <v>45614</v>
      </c>
      <c r="B120" s="38">
        <v>45761</v>
      </c>
      <c r="C120" t="s">
        <v>1398</v>
      </c>
      <c r="D120" t="s">
        <v>79</v>
      </c>
      <c r="E120" t="s">
        <v>78</v>
      </c>
      <c r="F120" t="s">
        <v>2067</v>
      </c>
      <c r="G120" s="42">
        <v>717928.01</v>
      </c>
      <c r="H120" s="45">
        <v>1121</v>
      </c>
      <c r="I120" s="24" t="s">
        <v>2068</v>
      </c>
    </row>
    <row r="121" spans="1:9">
      <c r="A121" s="5">
        <v>45751</v>
      </c>
      <c r="B121" s="38">
        <v>45761</v>
      </c>
      <c r="C121" t="s">
        <v>183</v>
      </c>
      <c r="D121" t="s">
        <v>79</v>
      </c>
      <c r="E121" t="s">
        <v>114</v>
      </c>
      <c r="F121" t="s">
        <v>2069</v>
      </c>
      <c r="G121" s="42">
        <v>3868.8</v>
      </c>
      <c r="H121" s="45">
        <v>1153</v>
      </c>
      <c r="I121" s="24">
        <v>2775</v>
      </c>
    </row>
    <row r="122" spans="1:9">
      <c r="A122" s="5">
        <v>45751</v>
      </c>
      <c r="B122" s="38">
        <v>45764</v>
      </c>
      <c r="C122" t="s">
        <v>1041</v>
      </c>
      <c r="D122" t="s">
        <v>79</v>
      </c>
      <c r="E122" t="s">
        <v>114</v>
      </c>
      <c r="F122" t="s">
        <v>2070</v>
      </c>
      <c r="G122" s="42">
        <v>6137.1</v>
      </c>
      <c r="H122" s="45">
        <v>1151</v>
      </c>
      <c r="I122" s="24">
        <v>2772</v>
      </c>
    </row>
    <row r="123" spans="1:9">
      <c r="A123" s="5">
        <v>45762</v>
      </c>
      <c r="B123" s="38">
        <v>45785</v>
      </c>
      <c r="C123" t="s">
        <v>1247</v>
      </c>
      <c r="D123" t="s">
        <v>71</v>
      </c>
      <c r="E123" t="s">
        <v>114</v>
      </c>
      <c r="F123" t="s">
        <v>2071</v>
      </c>
      <c r="G123" s="42">
        <v>8248.3700000000008</v>
      </c>
      <c r="H123" s="45">
        <v>1155</v>
      </c>
      <c r="I123" s="24">
        <v>2778</v>
      </c>
    </row>
    <row r="124" spans="1:9">
      <c r="A124" s="5">
        <v>45617</v>
      </c>
      <c r="B124" s="38">
        <v>45793</v>
      </c>
      <c r="C124" t="s">
        <v>1398</v>
      </c>
      <c r="D124" t="s">
        <v>79</v>
      </c>
      <c r="E124" t="s">
        <v>114</v>
      </c>
      <c r="F124" t="s">
        <v>2072</v>
      </c>
      <c r="G124" s="42">
        <v>28447.35</v>
      </c>
      <c r="H124" s="45">
        <v>1123</v>
      </c>
      <c r="I124" s="24" t="s">
        <v>2073</v>
      </c>
    </row>
    <row r="125" spans="1:9">
      <c r="A125" s="5">
        <v>45706</v>
      </c>
      <c r="B125" s="38">
        <v>45796</v>
      </c>
      <c r="C125" t="s">
        <v>929</v>
      </c>
      <c r="D125" t="s">
        <v>71</v>
      </c>
      <c r="E125" t="s">
        <v>111</v>
      </c>
      <c r="F125" t="s">
        <v>2074</v>
      </c>
      <c r="G125" s="42">
        <v>37944</v>
      </c>
      <c r="H125" s="45">
        <v>1143</v>
      </c>
      <c r="I125" s="24">
        <v>2620</v>
      </c>
    </row>
    <row r="126" spans="1:9">
      <c r="A126" s="5">
        <v>45792</v>
      </c>
      <c r="B126" s="38">
        <v>45825</v>
      </c>
      <c r="C126" t="s">
        <v>560</v>
      </c>
      <c r="D126" t="s">
        <v>71</v>
      </c>
      <c r="E126" t="s">
        <v>117</v>
      </c>
      <c r="F126" t="s">
        <v>2075</v>
      </c>
      <c r="G126" s="42">
        <v>3187.22</v>
      </c>
      <c r="H126" s="45">
        <v>1158</v>
      </c>
      <c r="I126" s="24">
        <v>2800</v>
      </c>
    </row>
    <row r="127" spans="1:9">
      <c r="A127" s="5">
        <v>45810</v>
      </c>
      <c r="B127" s="38">
        <v>45826</v>
      </c>
      <c r="C127" t="s">
        <v>183</v>
      </c>
      <c r="D127" t="s">
        <v>79</v>
      </c>
      <c r="E127" t="s">
        <v>78</v>
      </c>
      <c r="F127" t="s">
        <v>2076</v>
      </c>
      <c r="G127" s="42">
        <v>19592.05</v>
      </c>
      <c r="H127" s="45">
        <v>1169</v>
      </c>
      <c r="I127" s="24">
        <v>2805</v>
      </c>
    </row>
    <row r="128" spans="1:9">
      <c r="A128" s="5">
        <v>45820</v>
      </c>
      <c r="B128" s="38">
        <v>45826</v>
      </c>
      <c r="C128" t="s">
        <v>1066</v>
      </c>
      <c r="D128" t="s">
        <v>79</v>
      </c>
      <c r="E128" t="s">
        <v>117</v>
      </c>
      <c r="F128" t="s">
        <v>1910</v>
      </c>
      <c r="G128" s="42">
        <v>9835</v>
      </c>
      <c r="H128" s="45" t="s">
        <v>1943</v>
      </c>
      <c r="I128" s="24" t="s">
        <v>2077</v>
      </c>
    </row>
    <row r="129" spans="1:9">
      <c r="A129" s="5">
        <v>45630</v>
      </c>
      <c r="B129" s="40">
        <v>45832</v>
      </c>
      <c r="C129" t="s">
        <v>1575</v>
      </c>
      <c r="D129" t="s">
        <v>79</v>
      </c>
      <c r="E129" t="s">
        <v>87</v>
      </c>
      <c r="F129" t="s">
        <v>2078</v>
      </c>
      <c r="G129" s="44">
        <v>6026105.0099999998</v>
      </c>
      <c r="H129" s="46">
        <v>1128</v>
      </c>
      <c r="I129" s="26" t="s">
        <v>2079</v>
      </c>
    </row>
    <row r="130" spans="1:9">
      <c r="A130" s="5">
        <v>45820</v>
      </c>
      <c r="B130" s="38">
        <v>45839</v>
      </c>
      <c r="C130" t="s">
        <v>456</v>
      </c>
      <c r="D130" t="s">
        <v>71</v>
      </c>
      <c r="E130" t="s">
        <v>114</v>
      </c>
      <c r="F130" t="s">
        <v>2080</v>
      </c>
      <c r="G130" s="42">
        <v>7851.56</v>
      </c>
      <c r="H130" s="45">
        <v>1172</v>
      </c>
      <c r="I130" s="24" t="s">
        <v>2081</v>
      </c>
    </row>
    <row r="131" spans="1:9">
      <c r="A131" s="5">
        <v>45733</v>
      </c>
      <c r="B131" s="38">
        <v>45845</v>
      </c>
      <c r="C131" t="s">
        <v>1099</v>
      </c>
      <c r="D131" t="s">
        <v>79</v>
      </c>
      <c r="E131" t="s">
        <v>114</v>
      </c>
      <c r="F131" t="s">
        <v>2082</v>
      </c>
      <c r="G131" s="42">
        <v>52607.65</v>
      </c>
      <c r="H131" s="45">
        <v>1145</v>
      </c>
      <c r="I131" s="24" t="s">
        <v>2083</v>
      </c>
    </row>
    <row r="132" spans="1:9">
      <c r="A132" s="5">
        <v>45706</v>
      </c>
      <c r="B132" s="38">
        <v>45845</v>
      </c>
      <c r="C132" t="s">
        <v>1099</v>
      </c>
      <c r="D132" t="s">
        <v>79</v>
      </c>
      <c r="E132" t="s">
        <v>117</v>
      </c>
      <c r="F132" t="s">
        <v>2084</v>
      </c>
      <c r="G132" s="42">
        <v>35472.33</v>
      </c>
      <c r="H132" s="45" t="s">
        <v>1911</v>
      </c>
      <c r="I132" s="24" t="s">
        <v>2085</v>
      </c>
    </row>
    <row r="133" spans="1:9">
      <c r="A133" s="5">
        <v>45803</v>
      </c>
      <c r="B133" s="38">
        <v>45846</v>
      </c>
      <c r="C133" t="s">
        <v>1019</v>
      </c>
      <c r="D133" t="s">
        <v>79</v>
      </c>
      <c r="E133" t="s">
        <v>114</v>
      </c>
      <c r="F133" t="s">
        <v>2086</v>
      </c>
      <c r="G133" s="42">
        <v>3327.5</v>
      </c>
      <c r="H133" s="45">
        <v>1163</v>
      </c>
      <c r="I133" s="24" t="s">
        <v>2087</v>
      </c>
    </row>
    <row r="134" spans="1:9">
      <c r="A134" s="5">
        <v>45803</v>
      </c>
      <c r="B134" s="38">
        <v>45846</v>
      </c>
      <c r="C134" t="s">
        <v>1019</v>
      </c>
      <c r="D134" t="s">
        <v>79</v>
      </c>
      <c r="E134" t="s">
        <v>114</v>
      </c>
      <c r="F134" t="s">
        <v>2088</v>
      </c>
      <c r="G134" s="42">
        <v>2369.35</v>
      </c>
      <c r="H134" s="45">
        <v>1164</v>
      </c>
      <c r="I134" s="24" t="s">
        <v>2089</v>
      </c>
    </row>
    <row r="135" spans="1:9">
      <c r="A135" s="5">
        <v>45803</v>
      </c>
      <c r="B135" s="38">
        <v>45846</v>
      </c>
      <c r="C135" t="s">
        <v>1019</v>
      </c>
      <c r="D135" t="s">
        <v>79</v>
      </c>
      <c r="E135" t="s">
        <v>114</v>
      </c>
      <c r="F135" t="s">
        <v>2090</v>
      </c>
      <c r="G135" s="42">
        <v>2000</v>
      </c>
      <c r="H135" s="45">
        <v>1165</v>
      </c>
      <c r="I135" s="24" t="s">
        <v>2091</v>
      </c>
    </row>
    <row r="136" spans="1:9">
      <c r="A136" s="5">
        <v>45667</v>
      </c>
      <c r="B136" s="38">
        <v>45853</v>
      </c>
      <c r="C136" t="s">
        <v>1437</v>
      </c>
      <c r="D136" t="s">
        <v>79</v>
      </c>
      <c r="E136" t="s">
        <v>78</v>
      </c>
      <c r="F136" t="s">
        <v>2092</v>
      </c>
      <c r="G136" s="42">
        <v>335674.96</v>
      </c>
      <c r="H136" s="45">
        <v>1135</v>
      </c>
      <c r="I136" s="24" t="s">
        <v>2093</v>
      </c>
    </row>
    <row r="137" spans="1:9">
      <c r="A137" s="5">
        <v>45589</v>
      </c>
      <c r="B137" s="38">
        <v>45866</v>
      </c>
      <c r="C137" t="s">
        <v>1247</v>
      </c>
      <c r="D137" t="s">
        <v>71</v>
      </c>
      <c r="E137" t="s">
        <v>78</v>
      </c>
      <c r="F137" t="s">
        <v>2094</v>
      </c>
      <c r="G137" s="42">
        <v>1166010.71</v>
      </c>
      <c r="H137" s="45">
        <v>1110</v>
      </c>
      <c r="I137" s="24">
        <v>2655</v>
      </c>
    </row>
    <row r="138" spans="1:9">
      <c r="A138" s="5">
        <v>45807</v>
      </c>
      <c r="B138" s="38">
        <v>45875</v>
      </c>
      <c r="C138" t="s">
        <v>514</v>
      </c>
      <c r="D138" t="s">
        <v>79</v>
      </c>
      <c r="E138" t="s">
        <v>78</v>
      </c>
      <c r="F138" t="s">
        <v>2095</v>
      </c>
      <c r="G138" s="42">
        <v>71298.16</v>
      </c>
      <c r="H138" s="45" t="s">
        <v>2096</v>
      </c>
      <c r="I138" s="24" t="s">
        <v>2097</v>
      </c>
    </row>
    <row r="139" spans="1:9">
      <c r="A139" s="5">
        <v>45838</v>
      </c>
      <c r="B139" s="38">
        <v>45882</v>
      </c>
      <c r="C139" t="s">
        <v>1434</v>
      </c>
      <c r="D139" t="s">
        <v>71</v>
      </c>
      <c r="E139" t="s">
        <v>117</v>
      </c>
      <c r="F139" t="s">
        <v>2098</v>
      </c>
      <c r="G139" s="42">
        <v>25844.42</v>
      </c>
      <c r="H139" s="45">
        <v>1173</v>
      </c>
      <c r="I139" s="24">
        <v>2823</v>
      </c>
    </row>
    <row r="140" spans="1:9">
      <c r="A140" s="5">
        <v>45705</v>
      </c>
      <c r="B140" s="38">
        <v>45887</v>
      </c>
      <c r="C140" t="s">
        <v>294</v>
      </c>
      <c r="D140" t="s">
        <v>79</v>
      </c>
      <c r="E140" t="s">
        <v>78</v>
      </c>
      <c r="F140" t="s">
        <v>2099</v>
      </c>
      <c r="G140" s="42">
        <v>285000</v>
      </c>
      <c r="H140" s="45">
        <v>1140</v>
      </c>
      <c r="I140" s="24" t="s">
        <v>2100</v>
      </c>
    </row>
    <row r="141" spans="1:9">
      <c r="A141" s="5">
        <v>45705</v>
      </c>
      <c r="B141" s="38">
        <v>45887</v>
      </c>
      <c r="C141" t="s">
        <v>294</v>
      </c>
      <c r="D141" t="s">
        <v>79</v>
      </c>
      <c r="E141" t="s">
        <v>114</v>
      </c>
      <c r="F141" t="s">
        <v>2101</v>
      </c>
      <c r="G141" s="42">
        <v>57635.35</v>
      </c>
      <c r="H141" s="45">
        <v>1141</v>
      </c>
      <c r="I141" s="24" t="s">
        <v>2102</v>
      </c>
    </row>
    <row r="142" spans="1:9">
      <c r="A142" s="5">
        <v>45705</v>
      </c>
      <c r="B142" s="38">
        <v>45887</v>
      </c>
      <c r="C142" t="s">
        <v>294</v>
      </c>
      <c r="D142" t="s">
        <v>79</v>
      </c>
      <c r="E142" t="s">
        <v>78</v>
      </c>
      <c r="F142" t="s">
        <v>2103</v>
      </c>
      <c r="G142" s="42">
        <v>112566.81</v>
      </c>
      <c r="H142" s="45">
        <v>1139</v>
      </c>
      <c r="I142" s="24" t="s">
        <v>2104</v>
      </c>
    </row>
    <row r="143" spans="1:9">
      <c r="A143" s="5">
        <v>45770</v>
      </c>
      <c r="B143" s="38">
        <v>45888</v>
      </c>
      <c r="C143" t="s">
        <v>294</v>
      </c>
      <c r="D143" t="s">
        <v>79</v>
      </c>
      <c r="E143" t="s">
        <v>78</v>
      </c>
      <c r="F143" t="s">
        <v>2105</v>
      </c>
      <c r="G143" s="44">
        <v>39468.639999999999</v>
      </c>
      <c r="H143" s="46">
        <v>1154</v>
      </c>
      <c r="I143" s="26" t="s">
        <v>2106</v>
      </c>
    </row>
    <row r="144" spans="1:9">
      <c r="A144" s="5">
        <v>45881</v>
      </c>
      <c r="B144" s="38">
        <v>45888</v>
      </c>
      <c r="C144" t="s">
        <v>585</v>
      </c>
      <c r="D144" t="s">
        <v>71</v>
      </c>
      <c r="E144" t="s">
        <v>78</v>
      </c>
      <c r="F144" t="s">
        <v>2107</v>
      </c>
      <c r="G144" s="42">
        <v>3957.25</v>
      </c>
      <c r="H144" s="45">
        <v>1176</v>
      </c>
      <c r="I144" s="24">
        <v>2846</v>
      </c>
    </row>
    <row r="145" spans="1:9">
      <c r="A145" s="5">
        <v>45600</v>
      </c>
      <c r="B145" s="38">
        <v>45894</v>
      </c>
      <c r="C145" t="s">
        <v>1166</v>
      </c>
      <c r="D145" t="s">
        <v>79</v>
      </c>
      <c r="E145" t="s">
        <v>70</v>
      </c>
      <c r="F145" t="s">
        <v>2108</v>
      </c>
      <c r="G145" s="44">
        <v>584163.11</v>
      </c>
      <c r="H145" s="46">
        <v>1115</v>
      </c>
      <c r="I145" s="26" t="s">
        <v>2109</v>
      </c>
    </row>
    <row r="146" spans="1:9">
      <c r="A146" s="5">
        <v>45708</v>
      </c>
      <c r="B146" s="38">
        <v>45902</v>
      </c>
      <c r="C146" t="s">
        <v>1398</v>
      </c>
      <c r="D146" t="s">
        <v>79</v>
      </c>
      <c r="E146" t="s">
        <v>78</v>
      </c>
      <c r="F146" t="s">
        <v>2110</v>
      </c>
      <c r="G146" s="42">
        <v>196631.78</v>
      </c>
      <c r="H146" s="45">
        <v>1166</v>
      </c>
      <c r="I146" s="24" t="s">
        <v>2111</v>
      </c>
    </row>
    <row r="147" spans="1:9">
      <c r="A147" s="5">
        <v>45896</v>
      </c>
      <c r="B147" s="38">
        <v>45903</v>
      </c>
      <c r="C147" t="s">
        <v>560</v>
      </c>
      <c r="D147" t="s">
        <v>71</v>
      </c>
      <c r="E147" t="s">
        <v>117</v>
      </c>
      <c r="F147" t="s">
        <v>2112</v>
      </c>
      <c r="G147" s="42">
        <v>4828.5</v>
      </c>
      <c r="H147" s="45">
        <v>1179</v>
      </c>
      <c r="I147" s="24">
        <v>2834</v>
      </c>
    </row>
    <row r="148" spans="1:9">
      <c r="A148" s="5">
        <v>45796</v>
      </c>
      <c r="B148" s="38">
        <v>45903</v>
      </c>
      <c r="C148" t="s">
        <v>1099</v>
      </c>
      <c r="D148" t="s">
        <v>79</v>
      </c>
      <c r="E148" t="s">
        <v>117</v>
      </c>
      <c r="F148" t="s">
        <v>2113</v>
      </c>
      <c r="G148" s="42">
        <v>53864.7</v>
      </c>
      <c r="H148" s="45">
        <v>1157</v>
      </c>
      <c r="I148" s="24" t="s">
        <v>2114</v>
      </c>
    </row>
    <row r="149" spans="1:9">
      <c r="A149" s="5">
        <v>45702</v>
      </c>
      <c r="B149" s="38">
        <v>45915</v>
      </c>
      <c r="C149" t="s">
        <v>1586</v>
      </c>
      <c r="D149" t="s">
        <v>79</v>
      </c>
      <c r="E149" t="s">
        <v>78</v>
      </c>
      <c r="F149" t="s">
        <v>2115</v>
      </c>
      <c r="G149" s="42">
        <v>580000</v>
      </c>
      <c r="H149" s="45">
        <v>1138</v>
      </c>
      <c r="I149" s="24" t="s">
        <v>2116</v>
      </c>
    </row>
    <row r="150" spans="1:9">
      <c r="A150" s="5">
        <v>45751</v>
      </c>
      <c r="B150" s="38">
        <v>45915</v>
      </c>
      <c r="C150" t="s">
        <v>1586</v>
      </c>
      <c r="D150" t="s">
        <v>79</v>
      </c>
      <c r="E150" t="s">
        <v>78</v>
      </c>
      <c r="F150" t="s">
        <v>2117</v>
      </c>
      <c r="G150" s="42">
        <v>59518.400000000001</v>
      </c>
      <c r="H150" s="45">
        <v>1152</v>
      </c>
      <c r="I150" s="24">
        <v>2774</v>
      </c>
    </row>
    <row r="151" spans="1:9">
      <c r="A151" s="5">
        <v>45844</v>
      </c>
      <c r="B151" s="38">
        <v>45915</v>
      </c>
      <c r="C151" t="s">
        <v>1586</v>
      </c>
      <c r="D151" t="s">
        <v>79</v>
      </c>
      <c r="E151" t="s">
        <v>78</v>
      </c>
      <c r="F151" t="s">
        <v>2118</v>
      </c>
      <c r="G151" s="42">
        <v>300438.17</v>
      </c>
      <c r="H151" s="45">
        <v>1159</v>
      </c>
      <c r="I151" s="24" t="s">
        <v>2119</v>
      </c>
    </row>
    <row r="152" spans="1:9">
      <c r="A152" s="5">
        <v>45751</v>
      </c>
      <c r="B152" s="38">
        <v>45915</v>
      </c>
      <c r="C152" t="s">
        <v>1450</v>
      </c>
      <c r="D152" t="s">
        <v>79</v>
      </c>
      <c r="E152" t="s">
        <v>78</v>
      </c>
      <c r="F152" t="s">
        <v>2120</v>
      </c>
      <c r="G152" s="42">
        <v>156367.9</v>
      </c>
      <c r="H152" s="45">
        <v>1150</v>
      </c>
      <c r="I152" s="24">
        <v>2747</v>
      </c>
    </row>
    <row r="153" spans="1:9">
      <c r="A153" s="5">
        <v>45838</v>
      </c>
      <c r="B153" s="38">
        <v>45918</v>
      </c>
      <c r="C153" t="s">
        <v>1099</v>
      </c>
      <c r="D153" t="s">
        <v>79</v>
      </c>
      <c r="E153" t="s">
        <v>114</v>
      </c>
      <c r="F153" t="s">
        <v>2121</v>
      </c>
      <c r="G153" s="42">
        <v>5509.91</v>
      </c>
      <c r="H153" s="45">
        <v>1181</v>
      </c>
      <c r="I153" s="24">
        <v>2847</v>
      </c>
    </row>
    <row r="154" spans="1:9">
      <c r="A154" s="5">
        <v>45894</v>
      </c>
      <c r="B154" s="41">
        <v>45932</v>
      </c>
      <c r="C154" t="s">
        <v>1099</v>
      </c>
      <c r="D154" t="s">
        <v>79</v>
      </c>
      <c r="E154" t="s">
        <v>117</v>
      </c>
      <c r="F154" t="s">
        <v>2122</v>
      </c>
      <c r="G154" s="42">
        <v>33032.559999999998</v>
      </c>
      <c r="H154" s="45">
        <v>1166</v>
      </c>
      <c r="I154" s="24" t="s">
        <v>2111</v>
      </c>
    </row>
    <row r="155" spans="1:9">
      <c r="A155" s="5">
        <v>45943</v>
      </c>
      <c r="B155" s="41">
        <v>45932</v>
      </c>
      <c r="C155" t="s">
        <v>585</v>
      </c>
      <c r="D155" t="s">
        <v>71</v>
      </c>
      <c r="E155" t="s">
        <v>114</v>
      </c>
      <c r="F155" t="s">
        <v>2123</v>
      </c>
      <c r="G155" s="42">
        <v>4076</v>
      </c>
      <c r="H155" s="45">
        <v>1122</v>
      </c>
      <c r="I155" s="24" t="s">
        <v>2037</v>
      </c>
    </row>
    <row r="156" spans="1:9">
      <c r="A156" s="5">
        <v>45943</v>
      </c>
      <c r="B156" s="41">
        <v>45944</v>
      </c>
      <c r="C156" t="s">
        <v>585</v>
      </c>
      <c r="D156" t="s">
        <v>71</v>
      </c>
      <c r="E156" t="s">
        <v>117</v>
      </c>
      <c r="F156" t="s">
        <v>1910</v>
      </c>
      <c r="G156" s="42">
        <v>88850.18</v>
      </c>
      <c r="H156" s="45">
        <v>1166</v>
      </c>
      <c r="I156" s="24" t="s">
        <v>2111</v>
      </c>
    </row>
    <row r="157" spans="1:9">
      <c r="A157" s="5">
        <v>45933</v>
      </c>
      <c r="B157" s="38">
        <v>45946</v>
      </c>
      <c r="C157" t="s">
        <v>327</v>
      </c>
      <c r="D157" t="s">
        <v>71</v>
      </c>
      <c r="E157" t="s">
        <v>117</v>
      </c>
      <c r="F157" t="s">
        <v>2048</v>
      </c>
      <c r="G157" s="42">
        <v>1075.8399999999999</v>
      </c>
      <c r="H157" s="45">
        <v>1174</v>
      </c>
      <c r="I157" s="24" t="s">
        <v>2124</v>
      </c>
    </row>
    <row r="158" spans="1:9">
      <c r="A158" s="5">
        <v>45943</v>
      </c>
      <c r="B158" s="38">
        <v>45965</v>
      </c>
      <c r="C158" t="s">
        <v>1442</v>
      </c>
      <c r="D158" t="s">
        <v>79</v>
      </c>
      <c r="E158" t="s">
        <v>114</v>
      </c>
      <c r="F158" t="s">
        <v>2125</v>
      </c>
      <c r="G158" s="42">
        <v>3294.54</v>
      </c>
      <c r="H158" s="45">
        <v>1183</v>
      </c>
      <c r="I158" s="24">
        <v>2852</v>
      </c>
    </row>
    <row r="159" spans="1:9">
      <c r="A159" s="5">
        <v>45841</v>
      </c>
      <c r="B159" s="38">
        <v>45966</v>
      </c>
      <c r="C159" t="s">
        <v>1066</v>
      </c>
      <c r="D159" t="s">
        <v>79</v>
      </c>
      <c r="E159" t="s">
        <v>117</v>
      </c>
      <c r="F159" t="s">
        <v>2126</v>
      </c>
      <c r="G159" s="42">
        <v>75000</v>
      </c>
      <c r="H159" s="45" t="s">
        <v>1943</v>
      </c>
      <c r="I159" s="24" t="s">
        <v>2127</v>
      </c>
    </row>
    <row r="160" spans="1:9">
      <c r="A160" s="5">
        <v>45841</v>
      </c>
      <c r="B160" s="38">
        <v>45966</v>
      </c>
      <c r="C160" t="s">
        <v>1066</v>
      </c>
      <c r="D160" t="s">
        <v>79</v>
      </c>
      <c r="E160" t="s">
        <v>117</v>
      </c>
      <c r="F160" t="s">
        <v>2126</v>
      </c>
      <c r="G160" s="42">
        <v>75000</v>
      </c>
      <c r="H160" s="45" t="s">
        <v>1943</v>
      </c>
      <c r="I160" s="24">
        <v>2824</v>
      </c>
    </row>
    <row r="161" spans="1:9">
      <c r="A161" s="5">
        <v>45961</v>
      </c>
      <c r="B161" s="38">
        <v>45967</v>
      </c>
      <c r="C161" t="s">
        <v>1434</v>
      </c>
      <c r="D161" t="s">
        <v>71</v>
      </c>
      <c r="E161" t="s">
        <v>117</v>
      </c>
      <c r="F161" t="s">
        <v>2128</v>
      </c>
      <c r="G161" s="42">
        <v>10604.07</v>
      </c>
      <c r="H161" s="45" t="s">
        <v>1943</v>
      </c>
      <c r="I161" s="24">
        <v>2882</v>
      </c>
    </row>
    <row r="162" spans="1:9">
      <c r="A162" s="5">
        <v>45903</v>
      </c>
      <c r="B162" s="38">
        <v>45967</v>
      </c>
      <c r="C162" t="s">
        <v>736</v>
      </c>
      <c r="D162" t="s">
        <v>71</v>
      </c>
      <c r="E162" t="s">
        <v>114</v>
      </c>
      <c r="F162" t="s">
        <v>2129</v>
      </c>
      <c r="G162" s="42">
        <v>86152.31</v>
      </c>
      <c r="H162" s="45">
        <v>1180</v>
      </c>
      <c r="I162" s="24" t="s">
        <v>2130</v>
      </c>
    </row>
    <row r="163" spans="1:9">
      <c r="G163" s="5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="Selecione um vendedor válido" xr:uid="{00000000-0002-0000-0400-000001000000}">
          <x14:formula1>
            <xm:f>'Tabelas de Apoio'!$E$2:$E$10</xm:f>
          </x14:formula1>
          <xm:sqref>D2:D964</xm:sqref>
        </x14:dataValidation>
        <x14:dataValidation type="list" allowBlank="1" error="Selecione uma solução válida" xr:uid="{00000000-0002-0000-0400-000002000000}">
          <x14:formula1>
            <xm:f>'Tabelas de Apoio'!$C$2:$C$10</xm:f>
          </x14:formula1>
          <xm:sqref>E2:E964</xm:sqref>
        </x14:dataValidation>
        <x14:dataValidation type="list" errorTitle="Entrada Inválida" error="Selecione um cliente válido do cadastro" xr:uid="{0AEF34FF-1CED-4F1B-8ED2-25539F5D0324}">
          <x14:formula1>
            <xm:f>'Cadastro de Empresas - 1'!$A$2:$A$1050</xm:f>
          </x14:formula1>
          <xm:sqref>C2:C1015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2025-11-10T14:54:47Z</dcterms:created>
  <dcterms:modified xsi:type="dcterms:W3CDTF">2025-12-08T13:36:06Z</dcterms:modified>
  <cp:category/>
  <cp:contentStatus/>
</cp:coreProperties>
</file>